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cuments\BlastGame\Doc\"/>
    </mc:Choice>
  </mc:AlternateContent>
  <bookViews>
    <workbookView windowWidth="28800" windowHeight="12375"/>
  </bookViews>
  <sheets>
    <sheet name="1-200关设定" sheetId="1" r:id="rId1"/>
    <sheet name="总体配置" sheetId="2" r:id="rId2"/>
    <sheet name="参数配置" sheetId="3" r:id="rId3"/>
    <sheet name="公式说明" sheetId="4" r:id="rId4"/>
  </sheets>
  <definedNames>
    <definedName name="_xlnm._FilterDatabase" localSheetId="0" hidden="1">'1-200关设定'!$A$1:$U$203</definedName>
    <definedName name="cyc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<sst xmlns="http://schemas.openxmlformats.org/spreadsheetml/2006/main" count="821" uniqueCount="175">
  <si>
    <t>level</t>
  </si>
  <si>
    <t>difficulty</t>
  </si>
  <si>
    <t>3档位通关率</t>
  </si>
  <si>
    <t>加入机制</t>
  </si>
  <si>
    <t>解锁系统（当前关卡，包括开始局外和关卡结束）</t>
  </si>
  <si>
    <t>Block2x2</t>
  </si>
  <si>
    <t>Objective1</t>
  </si>
  <si>
    <t>Pool</t>
  </si>
  <si>
    <t>GateLeft</t>
  </si>
  <si>
    <t>GateRight</t>
  </si>
  <si>
    <t>GateTop</t>
  </si>
  <si>
    <t>Gate</t>
  </si>
  <si>
    <t>Snake</t>
  </si>
  <si>
    <t>Key</t>
  </si>
  <si>
    <t>Screw</t>
  </si>
  <si>
    <t>SecretItem</t>
  </si>
  <si>
    <t>Triangle</t>
  </si>
  <si>
    <t>Link</t>
  </si>
  <si>
    <t>LinkDown</t>
  </si>
  <si>
    <t>LinkRight</t>
  </si>
  <si>
    <t>Special Count</t>
  </si>
  <si>
    <t>Color Count</t>
  </si>
  <si>
    <t>死亡分布类型</t>
  </si>
  <si>
    <t>死亡分布</t>
  </si>
  <si>
    <t>基础教学</t>
  </si>
  <si>
    <t>normal</t>
  </si>
  <si>
    <t>0.1,0.1,0.1,0.1,0.1,0.1,0.1,0.1,0.1,0.1</t>
  </si>
  <si>
    <t>合成教学</t>
  </si>
  <si>
    <t>大方块</t>
  </si>
  <si>
    <t>问号炮台</t>
  </si>
  <si>
    <t>三角炮台</t>
  </si>
  <si>
    <t>磁铁道具指引</t>
  </si>
  <si>
    <t>hard</t>
  </si>
  <si>
    <t>开始：新手签到+每日签到</t>
  </si>
  <si>
    <t>得分小猪</t>
  </si>
  <si>
    <t>0,0.2,0,0.2,0,0.2,0,0.2,0,0.2</t>
  </si>
  <si>
    <t>0,0,0.018,0.042,0.109,0.159,0.213,0.282,0.121,0.056</t>
  </si>
  <si>
    <t>魔法棒道具指引</t>
  </si>
  <si>
    <t>0,0,0.125,0.25,0.125,0,0.125,0.25,0.125,0</t>
  </si>
  <si>
    <t>结算：双倍金币出现，fail offer</t>
  </si>
  <si>
    <t>0,0,0.027,0.126,0.31,0.537,0,0,0,0</t>
  </si>
  <si>
    <t>superhard</t>
  </si>
  <si>
    <t>0,0,0,0,0.025,0.084,0.183,0.52,0.188,0</t>
  </si>
  <si>
    <t>相连炮台</t>
  </si>
  <si>
    <t>锤子道具指引</t>
  </si>
  <si>
    <t>结算：强制出现广告+免广告系统推送+商店上架免广告pass</t>
  </si>
  <si>
    <t>开始：任务</t>
  </si>
  <si>
    <t>回溯道具指引</t>
  </si>
  <si>
    <t>门</t>
  </si>
  <si>
    <t>开始：通行证+商店上架通行证</t>
  </si>
  <si>
    <t>开始：生涯</t>
  </si>
  <si>
    <t>池子</t>
  </si>
  <si>
    <t>复习关（复杂机制组合）</t>
  </si>
  <si>
    <t>蛇</t>
  </si>
  <si>
    <t>锁</t>
  </si>
  <si>
    <t>复习关（多机制组合）</t>
  </si>
  <si>
    <t>螺丝</t>
  </si>
  <si>
    <t>多机制组合</t>
  </si>
  <si>
    <t>0,0.176,0.341,0.251,0.141,0.085,0,0,0,0</t>
  </si>
  <si>
    <t>备注</t>
  </si>
  <si>
    <t>关卡解锁（该关卡）</t>
  </si>
  <si>
    <t>解锁系统（当前处于改关卡状态，还未进入时）</t>
  </si>
  <si>
    <t>Total Count</t>
  </si>
  <si>
    <t>Special Block</t>
  </si>
  <si>
    <t>F_endurance</t>
  </si>
  <si>
    <t>F_search</t>
  </si>
  <si>
    <t>F_strategy</t>
  </si>
  <si>
    <t>RLD Score</t>
  </si>
  <si>
    <t>RLD_Label</t>
  </si>
  <si>
    <t>死亡类型</t>
  </si>
  <si>
    <t>死亡分布配置</t>
  </si>
  <si>
    <t>RLD参数配置</t>
  </si>
  <si>
    <t>编号</t>
  </si>
  <si>
    <t>名称</t>
  </si>
  <si>
    <t>W_search (颜色搜索):</t>
  </si>
  <si>
    <t>平缓推进</t>
  </si>
  <si>
    <t>W_endurance (操作耐力):</t>
  </si>
  <si>
    <t>波动前进</t>
  </si>
  <si>
    <t>W_strategy (策略复杂度):</t>
  </si>
  <si>
    <t>阶梯上升</t>
  </si>
  <si>
    <t>W_search×endurance (交互):</t>
  </si>
  <si>
    <t>双峰值</t>
  </si>
  <si>
    <t>λ (endurance threshold):</t>
  </si>
  <si>
    <t>起死回生</t>
  </si>
  <si>
    <t>先易后难</t>
  </si>
  <si>
    <t>先难后易</t>
  </si>
  <si>
    <t>Quick Reference - Micro-Difficulty Values</t>
  </si>
  <si>
    <t>F_search(N_c) = ((N_c - 2) / 4)²</t>
  </si>
  <si>
    <t>N_c (Color Count)</t>
  </si>
  <si>
    <t>F_search_norm</t>
  </si>
  <si>
    <t>Experience</t>
  </si>
  <si>
    <t>极简 - Tutorial only</t>
  </si>
  <si>
    <t>简单 - Early game</t>
  </si>
  <si>
    <t>标准 - Core gameplay</t>
  </si>
  <si>
    <t>困难 - Key difficulty jump!</t>
  </si>
  <si>
    <t>极难 - Boss levels only</t>
  </si>
  <si>
    <t>F_strategy(N_s) = 1 - 2^(-N_s)</t>
  </si>
  <si>
    <t>N_s (Special Block Types)</t>
  </si>
  <si>
    <t>F_strategy_norm</t>
  </si>
  <si>
    <t>纯色消除 - Boring without specials</t>
  </si>
  <si>
    <t>单一机制 - Standard</t>
  </si>
  <si>
    <t>双重机制 - Core gameplay</t>
  </si>
  <si>
    <t>三重机制 - Complex</t>
  </si>
  <si>
    <t>四重机制 - Very complex</t>
  </si>
  <si>
    <t>五重机制 - Extreme</t>
  </si>
  <si>
    <t>F_endurance(N_b) = 1 - exp(-N_b / λ)</t>
  </si>
  <si>
    <t>N_b (Total Blocks)</t>
  </si>
  <si>
    <t>F_endurance_norm</t>
  </si>
  <si>
    <t>极简 - Tutorial</t>
  </si>
  <si>
    <t>简单</t>
  </si>
  <si>
    <t>入门</t>
  </si>
  <si>
    <t>舒适区下限</t>
  </si>
  <si>
    <t>舒适区</t>
  </si>
  <si>
    <t>舒适区上限</t>
  </si>
  <si>
    <t>标准挑战</t>
  </si>
  <si>
    <t>有挑战</t>
  </si>
  <si>
    <t>高挑战</t>
  </si>
  <si>
    <t>高疲劳</t>
  </si>
  <si>
    <t>极高疲劳</t>
  </si>
  <si>
    <t>极限</t>
  </si>
  <si>
    <t>超极限 - Avoid!</t>
  </si>
  <si>
    <t>RLD Difficulty Formula - Complete Reference</t>
  </si>
  <si>
    <t>COMPLETE FORMULA</t>
  </si>
  <si>
    <t>Score</t>
  </si>
  <si>
    <t>MICRO-DIFFICULTY FUNCTIONS</t>
  </si>
  <si>
    <t>F_search(N_c)</t>
  </si>
  <si>
    <t>Visual search difficulty</t>
  </si>
  <si>
    <t>2色=0, 3色=0.063, 4色=0.250, 5色=0.562, 6色=1.000</t>
  </si>
  <si>
    <t>F_endurance(N_b)</t>
  </si>
  <si>
    <t>Endurance/fatigue difficulty</t>
  </si>
  <si>
    <t>λ=800: 200块=0.22, 800块=0.63, 1500块=0.85</t>
  </si>
  <si>
    <t>F_strategy(N_s)</t>
  </si>
  <si>
    <t>Strategy complexity</t>
  </si>
  <si>
    <t>0种=0, 1种=0.50, 2种=0.75, 3种=0.875, 5种=0.969</t>
  </si>
  <si>
    <t>NORMALIZATION</t>
  </si>
  <si>
    <t>F_norm</t>
  </si>
  <si>
    <t>Scale to [0, 1]</t>
  </si>
  <si>
    <t>Ensures equal contribution range</t>
  </si>
  <si>
    <t>Min at N_c=2, Max at N_c=6</t>
  </si>
  <si>
    <t>Min at blocks=200, Max at blocks=1500</t>
  </si>
  <si>
    <t>Min at N_s=0, Max at N_s=5</t>
  </si>
  <si>
    <t>WEIGHTS</t>
  </si>
  <si>
    <t>W_search</t>
  </si>
  <si>
    <t>Color is the core Blast lever</t>
  </si>
  <si>
    <t>Probability of same-color match ∝ 1/N_c^4</t>
  </si>
  <si>
    <t>W_endurance</t>
  </si>
  <si>
    <t>Blocks drive fatigue</t>
  </si>
  <si>
    <t>Largest continuous variable (52 unique values)</t>
  </si>
  <si>
    <t>W_strategy</t>
  </si>
  <si>
    <t>Special blocks add complexity</t>
  </si>
  <si>
    <t>Important but not core difficulty driver</t>
  </si>
  <si>
    <t>W_search×endurance</t>
  </si>
  <si>
    <t>Interaction: color amplifies block difficulty</t>
  </si>
  <si>
    <t>RLD key insight: difficulty is multiplicative, not additive</t>
  </si>
  <si>
    <t>DIFFICULTY LABELS</t>
  </si>
  <si>
    <t>D0 (Easy)</t>
  </si>
  <si>
    <t>Score &lt; 35</t>
  </si>
  <si>
    <t>Relaxed gameplay</t>
  </si>
  <si>
    <t>D1 (Medium)</t>
  </si>
  <si>
    <t>35 ≤ Score &lt; 55</t>
  </si>
  <si>
    <t>Moderate challenge</t>
  </si>
  <si>
    <t>D2 (Hard)</t>
  </si>
  <si>
    <t>Score ≥ 55</t>
  </si>
  <si>
    <t>High challenge</t>
  </si>
  <si>
    <t>CALIBRATION (when you have playtest data)</t>
  </si>
  <si>
    <t>Step 1</t>
  </si>
  <si>
    <t>Collect: pass_rate, avg_attempts, churn_rate per level</t>
  </si>
  <si>
    <t>Step 2</t>
  </si>
  <si>
    <t>Define: true_diff = -log(pass_rate) × (1+churn_rate) × avg_attempts</t>
  </si>
  <si>
    <t>Step 3</t>
  </si>
  <si>
    <t>Regress: true_diff ~ F_search + F_endurance + F_strategy + F_search×F_endurance</t>
  </si>
  <si>
    <t>Step 4</t>
  </si>
  <si>
    <t>Use regression coefficients as calibrated weights</t>
  </si>
  <si>
    <t>Step 5</t>
  </si>
  <si>
    <t>Grid search λ ∈ [600,1000] to maximize R²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</si>
</sst>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37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9"/>
      <color rgb="FF666666"/>
      <name val="Arial"/>
      <charset val="134"/>
    </font>
    <font>
      <sz val="11"/>
      <color theme="0"/>
      <name val="宋体"/>
      <charset val="134"/>
      <scheme val="minor"/>
    </font>
    <font>
      <b/>
      <sz val="11"/>
      <color rgb="FF2E75B6"/>
      <name val="Arial"/>
      <charset val="134"/>
    </font>
    <font>
      <b/>
      <sz val="11"/>
      <color rgb="FFFFFFFF"/>
      <name val="Arial"/>
      <charset val="134"/>
    </font>
    <font>
      <b/>
      <sz val="11"/>
      <color theme="1"/>
      <name val="宋体"/>
      <charset val="134"/>
      <scheme val="minor"/>
    </font>
    <font>
      <b/>
      <sz val="11"/>
      <color theme="0"/>
      <name val="等线"/>
      <charset val="134"/>
    </font>
    <font>
      <sz val="11"/>
      <color theme="1"/>
      <name val="等线"/>
      <charset val="134"/>
    </font>
    <font>
      <sz val="11"/>
      <color theme="0"/>
      <name val="等线"/>
      <charset val="134"/>
    </font>
    <font>
      <sz val="11"/>
      <color theme="1"/>
      <name val="Calibri"/>
      <charset val="134"/>
    </font>
    <font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6100"/>
      <name val="Arial"/>
      <charset val="134"/>
    </font>
    <font>
      <sz val="11"/>
      <color rgb="FF9C6500"/>
      <name val="Arial"/>
      <charset val="134"/>
    </font>
    <font>
      <sz val="11"/>
      <color rgb="FF9C000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FBCBCE"/>
        <bgColor indexed="64"/>
      </patternFill>
    </fill>
    <fill>
      <patternFill patternType="solid">
        <fgColor rgb="FFFAB3B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E7"/>
        <bgColor indexed="64"/>
      </patternFill>
    </fill>
    <fill>
      <patternFill patternType="solid">
        <fgColor rgb="FFFA9A9D"/>
        <bgColor indexed="64"/>
      </patternFill>
    </fill>
    <fill>
      <patternFill patternType="solid">
        <fgColor rgb="FFF9828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21" borderId="3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4">
      <alignment vertical="center"/>
    </xf>
    <xf numFmtId="0" fontId="24" fillId="0" borderId="4">
      <alignment vertical="center"/>
    </xf>
    <xf numFmtId="0" fontId="25" fillId="0" borderId="5">
      <alignment vertical="center"/>
    </xf>
    <xf numFmtId="0" fontId="25" fillId="0" borderId="0">
      <alignment vertical="center"/>
    </xf>
    <xf numFmtId="0" fontId="26" fillId="22" borderId="6">
      <alignment vertical="center"/>
    </xf>
    <xf numFmtId="0" fontId="27" fillId="23" borderId="7">
      <alignment vertical="center"/>
    </xf>
    <xf numFmtId="0" fontId="28" fillId="23" borderId="6">
      <alignment vertical="center"/>
    </xf>
    <xf numFmtId="0" fontId="29" fillId="24" borderId="8">
      <alignment vertical="center"/>
    </xf>
    <xf numFmtId="0" fontId="30" fillId="0" borderId="9">
      <alignment vertical="center"/>
    </xf>
    <xf numFmtId="0" fontId="31" fillId="0" borderId="10">
      <alignment vertical="center"/>
    </xf>
    <xf numFmtId="0" fontId="32" fillId="13" borderId="0">
      <alignment vertical="center"/>
    </xf>
    <xf numFmtId="0" fontId="33" fillId="18" borderId="0">
      <alignment vertical="center"/>
    </xf>
    <xf numFmtId="0" fontId="34" fillId="17" borderId="0">
      <alignment vertical="center"/>
    </xf>
    <xf numFmtId="0" fontId="35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5" fillId="28" borderId="0">
      <alignment vertical="center"/>
    </xf>
    <xf numFmtId="0" fontId="35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5" fillId="32" borderId="0">
      <alignment vertical="center"/>
    </xf>
    <xf numFmtId="0" fontId="35" fillId="33" borderId="0">
      <alignment vertical="center"/>
    </xf>
    <xf numFmtId="0" fontId="36" fillId="34" borderId="0">
      <alignment vertical="center"/>
    </xf>
    <xf numFmtId="0" fontId="36" fillId="35" borderId="0">
      <alignment vertical="center"/>
    </xf>
    <xf numFmtId="0" fontId="35" fillId="36" borderId="0">
      <alignment vertical="center"/>
    </xf>
    <xf numFmtId="0" fontId="35" fillId="37" borderId="0">
      <alignment vertical="center"/>
    </xf>
    <xf numFmtId="0" fontId="36" fillId="38" borderId="0">
      <alignment vertical="center"/>
    </xf>
    <xf numFmtId="0" fontId="36" fillId="39" borderId="0">
      <alignment vertical="center"/>
    </xf>
    <xf numFmtId="0" fontId="35" fillId="40" borderId="0">
      <alignment vertical="center"/>
    </xf>
    <xf numFmtId="0" fontId="35" fillId="41" borderId="0">
      <alignment vertical="center"/>
    </xf>
    <xf numFmtId="0" fontId="36" fillId="42" borderId="0">
      <alignment vertical="center"/>
    </xf>
    <xf numFmtId="0" fontId="36" fillId="43" borderId="0">
      <alignment vertical="center"/>
    </xf>
    <xf numFmtId="0" fontId="35" fillId="44" borderId="0">
      <alignment vertical="center"/>
    </xf>
    <xf numFmtId="0" fontId="35" fillId="45" borderId="0">
      <alignment vertical="center"/>
    </xf>
    <xf numFmtId="0" fontId="36" fillId="46" borderId="0">
      <alignment vertical="center"/>
    </xf>
    <xf numFmtId="0" fontId="36" fillId="47" borderId="0">
      <alignment vertical="center"/>
    </xf>
    <xf numFmtId="0" fontId="35" fillId="48" borderId="0">
      <alignment vertical="center"/>
    </xf>
    <xf numFmtId="0" fontId="0" fillId="0" borderId="0"/>
  </cellStyleXfs>
  <cellXfs count="52">
    <xf numFmtId="0" fontId="0" fillId="0" borderId="0" xfId="0" applyAlignment="1">
      <alignment vertical="center"/>
    </xf>
    <xf numFmtId="0" fontId="0" fillId="0" borderId="0" xfId="49"/>
    <xf numFmtId="0" fontId="1" fillId="2" borderId="0" xfId="49" applyFont="1" applyFill="1" applyAlignment="1">
      <alignment horizontal="center" vertical="center"/>
    </xf>
    <xf numFmtId="0" fontId="2" fillId="0" borderId="0" xfId="49" applyFont="1" applyAlignment="1">
      <alignment horizontal="left" vertical="center" wrapText="1"/>
    </xf>
    <xf numFmtId="0" fontId="3" fillId="0" borderId="0" xfId="49" applyFont="1" applyAlignment="1">
      <alignment horizontal="left" vertical="center" wrapText="1"/>
    </xf>
    <xf numFmtId="0" fontId="4" fillId="0" borderId="0" xfId="49" applyFont="1" applyAlignment="1">
      <alignment horizontal="left" vertical="center" wrapText="1"/>
    </xf>
    <xf numFmtId="0" fontId="0" fillId="0" borderId="0" xfId="0" applyAlignment="1"/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2" fontId="6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6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3" fillId="0" borderId="0" xfId="49" applyFont="1"/>
    <xf numFmtId="0" fontId="7" fillId="6" borderId="1" xfId="49" applyFont="1" applyFill="1" applyBorder="1" applyAlignment="1">
      <alignment horizontal="center" vertical="center"/>
    </xf>
    <xf numFmtId="0" fontId="0" fillId="7" borderId="1" xfId="49" applyFill="1" applyBorder="1" applyAlignment="1">
      <alignment horizontal="center" vertical="center"/>
    </xf>
    <xf numFmtId="176" fontId="0" fillId="7" borderId="1" xfId="49" applyNumberFormat="1" applyFill="1" applyBorder="1" applyAlignment="1">
      <alignment horizontal="center" vertical="center"/>
    </xf>
    <xf numFmtId="0" fontId="0" fillId="8" borderId="1" xfId="49" applyFill="1" applyBorder="1" applyAlignment="1">
      <alignment horizontal="center" vertical="center"/>
    </xf>
    <xf numFmtId="176" fontId="0" fillId="8" borderId="1" xfId="49" applyNumberForma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1" fillId="3" borderId="0" xfId="0" applyFont="1" applyFill="1" applyAlignment="1"/>
    <xf numFmtId="0" fontId="12" fillId="9" borderId="2" xfId="0" applyFont="1" applyFill="1" applyBorder="1" applyAlignment="1">
      <alignment vertical="center" wrapText="1" readingOrder="1"/>
    </xf>
    <xf numFmtId="0" fontId="7" fillId="9" borderId="2" xfId="0" applyFont="1" applyFill="1" applyBorder="1" applyAlignment="1">
      <alignment vertical="center" wrapText="1" readingOrder="1"/>
    </xf>
    <xf numFmtId="0" fontId="13" fillId="9" borderId="2" xfId="0" applyFont="1" applyFill="1" applyBorder="1" applyAlignment="1">
      <alignment vertical="center" wrapText="1" readingOrder="1"/>
    </xf>
    <xf numFmtId="0" fontId="13" fillId="9" borderId="2" xfId="0" applyFont="1" applyFill="1" applyBorder="1" applyAlignment="1">
      <alignment wrapText="1" readingOrder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1"/>
    </xf>
    <xf numFmtId="0" fontId="14" fillId="0" borderId="2" xfId="0" applyFont="1" applyBorder="1" applyAlignment="1">
      <alignment vertical="center" wrapText="1" readingOrder="1"/>
    </xf>
    <xf numFmtId="0" fontId="12" fillId="0" borderId="2" xfId="0" applyFont="1" applyBorder="1" applyAlignment="1">
      <alignment vertical="center" wrapText="1" readingOrder="1"/>
    </xf>
    <xf numFmtId="0" fontId="14" fillId="10" borderId="2" xfId="0" applyFont="1" applyFill="1" applyBorder="1" applyAlignment="1">
      <alignment horizontal="right" vertical="center" wrapText="1" readingOrder="1"/>
    </xf>
    <xf numFmtId="0" fontId="14" fillId="11" borderId="2" xfId="0" applyFont="1" applyFill="1" applyBorder="1" applyAlignment="1">
      <alignment horizontal="right" vertical="center" wrapText="1" readingOrder="1"/>
    </xf>
    <xf numFmtId="0" fontId="14" fillId="0" borderId="2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4" fillId="12" borderId="2" xfId="0" applyFont="1" applyFill="1" applyBorder="1" applyAlignment="1">
      <alignment horizontal="right" vertical="center" wrapText="1" readingOrder="1"/>
    </xf>
    <xf numFmtId="0" fontId="15" fillId="13" borderId="2" xfId="0" applyFont="1" applyFill="1" applyBorder="1" applyAlignment="1">
      <alignment horizontal="right" vertical="center" wrapText="1" readingOrder="1"/>
    </xf>
    <xf numFmtId="0" fontId="14" fillId="14" borderId="2" xfId="0" applyFont="1" applyFill="1" applyBorder="1" applyAlignment="1">
      <alignment horizontal="right" vertical="center" wrapText="1" readingOrder="1"/>
    </xf>
    <xf numFmtId="0" fontId="12" fillId="0" borderId="2" xfId="0" applyFont="1" applyBorder="1" applyAlignment="1">
      <alignment wrapText="1" readingOrder="1"/>
    </xf>
    <xf numFmtId="0" fontId="14" fillId="15" borderId="2" xfId="0" applyFont="1" applyFill="1" applyBorder="1" applyAlignment="1">
      <alignment horizontal="right" vertical="center" wrapText="1" readingOrder="1"/>
    </xf>
    <xf numFmtId="0" fontId="14" fillId="5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4" fillId="16" borderId="2" xfId="0" applyFont="1" applyFill="1" applyBorder="1" applyAlignment="1">
      <alignment horizontal="right" vertical="center" wrapText="1" readingOrder="1"/>
    </xf>
    <xf numFmtId="0" fontId="16" fillId="17" borderId="2" xfId="0" applyFont="1" applyFill="1" applyBorder="1" applyAlignment="1">
      <alignment vertical="center" wrapText="1" readingOrder="1"/>
    </xf>
    <xf numFmtId="0" fontId="17" fillId="18" borderId="2" xfId="0" applyFont="1" applyFill="1" applyBorder="1" applyAlignment="1">
      <alignment vertical="center" wrapText="1" readingOrder="1"/>
    </xf>
    <xf numFmtId="0" fontId="14" fillId="19" borderId="2" xfId="0" applyFont="1" applyFill="1" applyBorder="1" applyAlignment="1">
      <alignment horizontal="right" vertical="center" wrapText="1" readingOrder="1"/>
    </xf>
    <xf numFmtId="0" fontId="14" fillId="0" borderId="2" xfId="0" applyFont="1" applyBorder="1" applyAlignment="1">
      <alignment wrapText="1" readingOrder="1"/>
    </xf>
    <xf numFmtId="0" fontId="14" fillId="20" borderId="2" xfId="0" applyFont="1" applyFill="1" applyBorder="1" applyAlignment="1">
      <alignment horizontal="right" vertical="center" wrapText="1" readingOrder="1"/>
    </xf>
    <xf numFmtId="0" fontId="14" fillId="0" borderId="2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0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773"/>
  <sheetViews>
    <sheetView tabSelected="1" workbookViewId="0">
      <pane ySplit="1" topLeftCell="A182" activePane="bottomLeft" state="frozen"/>
      <selection/>
      <selection pane="bottomLeft" activeCell="A1" sqref="A1:Y201"/>
    </sheetView>
  </sheetViews>
  <sheetFormatPr defaultColWidth="9" defaultRowHeight="14.25"/>
  <cols>
    <col min="1" max="3" width="9" style="25" customWidth="1"/>
    <col min="4" max="4" width="8.5" style="25" customWidth="1"/>
    <col min="5" max="5" width="12.875" style="25" customWidth="1"/>
    <col min="6" max="6" width="21.25" style="6" customWidth="1"/>
    <col min="7" max="21" width="9" style="25" customWidth="1"/>
    <col min="22" max="23" width="12.5" style="25" customWidth="1"/>
    <col min="24" max="16384" width="9" style="25" customWidth="1"/>
  </cols>
  <sheetData>
    <row r="1" s="27" customFormat="1" ht="40.5" customHeight="1" spans="1:25">
      <c r="A1" s="28"/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30" t="s">
        <v>20</v>
      </c>
      <c r="W1" s="30" t="s">
        <v>21</v>
      </c>
      <c r="X1" s="31" t="s">
        <v>22</v>
      </c>
      <c r="Y1" s="31" t="s">
        <v>23</v>
      </c>
    </row>
    <row r="2" ht="17.25" customHeight="1" spans="1:25">
      <c r="A2" s="32" t="s">
        <v>24</v>
      </c>
      <c r="B2" s="33">
        <v>1</v>
      </c>
      <c r="C2" s="34" t="s">
        <v>25</v>
      </c>
      <c r="D2" s="33">
        <v>1</v>
      </c>
      <c r="E2" s="35"/>
      <c r="F2" s="35"/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0</v>
      </c>
      <c r="M2" s="33">
        <v>0</v>
      </c>
      <c r="N2" s="33">
        <v>0</v>
      </c>
      <c r="O2" s="33">
        <v>0</v>
      </c>
      <c r="P2" s="33">
        <v>0</v>
      </c>
      <c r="Q2" s="33">
        <v>0</v>
      </c>
      <c r="R2" s="33">
        <v>0</v>
      </c>
      <c r="S2" s="33">
        <v>0</v>
      </c>
      <c r="T2" s="33">
        <v>0</v>
      </c>
      <c r="U2" s="33">
        <v>0</v>
      </c>
      <c r="V2" s="36">
        <v>0</v>
      </c>
      <c r="W2" s="37">
        <v>2</v>
      </c>
      <c r="X2" s="33">
        <v>1</v>
      </c>
      <c r="Y2" s="38" t="s">
        <v>26</v>
      </c>
    </row>
    <row r="3" ht="15" customHeight="1" spans="1:25">
      <c r="A3" s="32"/>
      <c r="B3" s="33">
        <v>2</v>
      </c>
      <c r="C3" s="34" t="s">
        <v>25</v>
      </c>
      <c r="D3" s="33">
        <v>1</v>
      </c>
      <c r="E3" s="35"/>
      <c r="F3" s="35"/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6">
        <v>0</v>
      </c>
      <c r="W3" s="39">
        <v>3</v>
      </c>
      <c r="X3" s="33">
        <v>1</v>
      </c>
      <c r="Y3" s="38" t="s">
        <v>26</v>
      </c>
    </row>
    <row r="4" ht="15" customHeight="1" spans="1:25">
      <c r="A4" s="32"/>
      <c r="B4" s="33">
        <v>3</v>
      </c>
      <c r="C4" s="34" t="s">
        <v>25</v>
      </c>
      <c r="D4" s="33">
        <v>1</v>
      </c>
      <c r="E4" s="34" t="s">
        <v>27</v>
      </c>
      <c r="F4" s="35"/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6">
        <v>0</v>
      </c>
      <c r="W4" s="39">
        <v>3</v>
      </c>
      <c r="X4" s="33">
        <v>1</v>
      </c>
      <c r="Y4" s="38" t="s">
        <v>26</v>
      </c>
    </row>
    <row r="5" ht="15" customHeight="1" spans="1:25">
      <c r="A5" s="32"/>
      <c r="B5" s="33">
        <v>4</v>
      </c>
      <c r="C5" s="34" t="s">
        <v>25</v>
      </c>
      <c r="D5" s="33">
        <v>1</v>
      </c>
      <c r="E5" s="35"/>
      <c r="F5" s="35"/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6">
        <v>0</v>
      </c>
      <c r="W5" s="39">
        <v>3</v>
      </c>
      <c r="X5" s="33">
        <v>1</v>
      </c>
      <c r="Y5" s="38" t="s">
        <v>26</v>
      </c>
    </row>
    <row r="6" ht="15" customHeight="1" spans="1:25">
      <c r="A6" s="32"/>
      <c r="B6" s="33">
        <v>5</v>
      </c>
      <c r="C6" s="34" t="s">
        <v>25</v>
      </c>
      <c r="D6" s="33">
        <v>1</v>
      </c>
      <c r="E6" s="34" t="s">
        <v>28</v>
      </c>
      <c r="F6" s="35"/>
      <c r="G6" s="40">
        <v>1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41">
        <v>1</v>
      </c>
      <c r="W6" s="39">
        <v>3</v>
      </c>
      <c r="X6" s="33">
        <v>1</v>
      </c>
      <c r="Y6" s="38" t="s">
        <v>26</v>
      </c>
    </row>
    <row r="7" ht="15" customHeight="1" spans="1:25">
      <c r="A7" s="32"/>
      <c r="B7" s="33">
        <v>6</v>
      </c>
      <c r="C7" s="34" t="s">
        <v>25</v>
      </c>
      <c r="D7" s="33">
        <v>0.9</v>
      </c>
      <c r="E7" s="42"/>
      <c r="F7" s="35"/>
      <c r="G7" s="40">
        <v>1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41">
        <v>1</v>
      </c>
      <c r="W7" s="43">
        <v>4</v>
      </c>
      <c r="X7" s="33">
        <v>1</v>
      </c>
      <c r="Y7" s="38" t="s">
        <v>26</v>
      </c>
    </row>
    <row r="8" ht="15" customHeight="1" spans="1:25">
      <c r="A8" s="32"/>
      <c r="B8" s="33">
        <v>7</v>
      </c>
      <c r="C8" s="34" t="s">
        <v>25</v>
      </c>
      <c r="D8" s="33">
        <v>1</v>
      </c>
      <c r="E8" s="34" t="s">
        <v>29</v>
      </c>
      <c r="F8" s="35"/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40">
        <v>1</v>
      </c>
      <c r="R8" s="33">
        <v>0</v>
      </c>
      <c r="S8" s="33">
        <v>0</v>
      </c>
      <c r="T8" s="33">
        <v>0</v>
      </c>
      <c r="U8" s="33">
        <v>0</v>
      </c>
      <c r="V8" s="41">
        <v>1</v>
      </c>
      <c r="W8" s="39">
        <v>3</v>
      </c>
      <c r="X8" s="33">
        <v>1</v>
      </c>
      <c r="Y8" s="38" t="s">
        <v>26</v>
      </c>
    </row>
    <row r="9" ht="15" customHeight="1" spans="1:25">
      <c r="A9" s="32"/>
      <c r="B9" s="33">
        <v>8</v>
      </c>
      <c r="C9" s="34" t="s">
        <v>25</v>
      </c>
      <c r="D9" s="33">
        <v>0.9</v>
      </c>
      <c r="E9" s="35"/>
      <c r="F9" s="35"/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40">
        <v>1</v>
      </c>
      <c r="R9" s="33">
        <v>0</v>
      </c>
      <c r="S9" s="33">
        <v>0</v>
      </c>
      <c r="T9" s="33">
        <v>0</v>
      </c>
      <c r="U9" s="33">
        <v>0</v>
      </c>
      <c r="V9" s="41">
        <v>1</v>
      </c>
      <c r="W9" s="43">
        <v>4</v>
      </c>
      <c r="X9" s="33">
        <v>1</v>
      </c>
      <c r="Y9" s="38" t="s">
        <v>26</v>
      </c>
    </row>
    <row r="10" ht="15" customHeight="1" spans="1:25">
      <c r="A10" s="32"/>
      <c r="B10" s="33">
        <v>9</v>
      </c>
      <c r="C10" s="34" t="s">
        <v>25</v>
      </c>
      <c r="D10" s="33">
        <v>0.9</v>
      </c>
      <c r="E10" s="35"/>
      <c r="F10" s="35"/>
      <c r="G10" s="40">
        <v>1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40">
        <v>1</v>
      </c>
      <c r="R10" s="33">
        <v>0</v>
      </c>
      <c r="S10" s="33">
        <v>0</v>
      </c>
      <c r="T10" s="33">
        <v>0</v>
      </c>
      <c r="U10" s="33">
        <v>0</v>
      </c>
      <c r="V10" s="37">
        <v>2</v>
      </c>
      <c r="W10" s="43">
        <v>4</v>
      </c>
      <c r="X10" s="33">
        <v>1</v>
      </c>
      <c r="Y10" s="38" t="s">
        <v>26</v>
      </c>
    </row>
    <row r="11" ht="15" customHeight="1" spans="1:25">
      <c r="A11" s="32"/>
      <c r="B11" s="33">
        <v>10</v>
      </c>
      <c r="C11" s="34" t="s">
        <v>25</v>
      </c>
      <c r="D11" s="33">
        <v>1</v>
      </c>
      <c r="E11" s="34" t="s">
        <v>30</v>
      </c>
      <c r="F11" s="35"/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40">
        <v>1</v>
      </c>
      <c r="S11" s="33">
        <v>0</v>
      </c>
      <c r="T11" s="33">
        <v>0</v>
      </c>
      <c r="U11" s="33">
        <v>0</v>
      </c>
      <c r="V11" s="41">
        <v>1</v>
      </c>
      <c r="W11" s="39">
        <v>3</v>
      </c>
      <c r="X11" s="33">
        <v>1</v>
      </c>
      <c r="Y11" s="38" t="s">
        <v>26</v>
      </c>
    </row>
    <row r="12" ht="15" customHeight="1" spans="1:25">
      <c r="A12" s="32"/>
      <c r="B12" s="33">
        <v>11</v>
      </c>
      <c r="C12" s="34" t="s">
        <v>25</v>
      </c>
      <c r="D12" s="33">
        <v>0.9</v>
      </c>
      <c r="E12" s="35"/>
      <c r="F12" s="35"/>
      <c r="G12" s="40">
        <v>1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40">
        <v>1</v>
      </c>
      <c r="S12" s="33">
        <v>0</v>
      </c>
      <c r="T12" s="33">
        <v>0</v>
      </c>
      <c r="U12" s="33">
        <v>0</v>
      </c>
      <c r="V12" s="37">
        <v>2</v>
      </c>
      <c r="W12" s="43">
        <v>4</v>
      </c>
      <c r="X12" s="33">
        <v>1</v>
      </c>
      <c r="Y12" s="38" t="s">
        <v>26</v>
      </c>
    </row>
    <row r="13" ht="15" customHeight="1" spans="1:25">
      <c r="A13" s="32"/>
      <c r="B13" s="33">
        <v>12</v>
      </c>
      <c r="C13" s="34" t="s">
        <v>25</v>
      </c>
      <c r="D13" s="33">
        <v>0.9</v>
      </c>
      <c r="E13" s="35"/>
      <c r="F13" s="35"/>
      <c r="G13" s="40">
        <v>1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40">
        <v>1</v>
      </c>
      <c r="R13" s="33">
        <v>0</v>
      </c>
      <c r="S13" s="33">
        <v>0</v>
      </c>
      <c r="T13" s="33">
        <v>0</v>
      </c>
      <c r="U13" s="33">
        <v>0</v>
      </c>
      <c r="V13" s="37">
        <v>2</v>
      </c>
      <c r="W13" s="43">
        <v>4</v>
      </c>
      <c r="X13" s="33">
        <v>1</v>
      </c>
      <c r="Y13" s="38" t="s">
        <v>26</v>
      </c>
    </row>
    <row r="14" ht="15" customHeight="1" spans="1:25">
      <c r="A14" s="32"/>
      <c r="B14" s="33">
        <v>13</v>
      </c>
      <c r="C14" s="34" t="s">
        <v>25</v>
      </c>
      <c r="D14" s="33">
        <v>0.9</v>
      </c>
      <c r="E14" s="44" t="s">
        <v>31</v>
      </c>
      <c r="F14" s="35"/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6">
        <v>0</v>
      </c>
      <c r="W14" s="45">
        <v>5</v>
      </c>
      <c r="X14" s="33">
        <v>1</v>
      </c>
      <c r="Y14" s="38" t="s">
        <v>26</v>
      </c>
    </row>
    <row r="15" ht="15" customHeight="1" spans="1:25">
      <c r="A15" s="32"/>
      <c r="B15" s="33">
        <v>14</v>
      </c>
      <c r="C15" s="46" t="s">
        <v>32</v>
      </c>
      <c r="D15" s="33">
        <v>0.7</v>
      </c>
      <c r="E15" s="35"/>
      <c r="F15" s="35"/>
      <c r="G15" s="40">
        <v>1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40">
        <v>1</v>
      </c>
      <c r="R15" s="40">
        <v>1</v>
      </c>
      <c r="S15" s="33">
        <v>0</v>
      </c>
      <c r="T15" s="33">
        <v>0</v>
      </c>
      <c r="U15" s="33">
        <v>0</v>
      </c>
      <c r="V15" s="39">
        <v>3</v>
      </c>
      <c r="W15" s="43">
        <v>4</v>
      </c>
      <c r="X15" s="33">
        <v>1</v>
      </c>
      <c r="Y15" s="38" t="s">
        <v>26</v>
      </c>
    </row>
    <row r="16" ht="30" customHeight="1" spans="1:25">
      <c r="A16" s="32" t="s">
        <v>30</v>
      </c>
      <c r="B16" s="33">
        <v>15</v>
      </c>
      <c r="C16" s="34" t="s">
        <v>25</v>
      </c>
      <c r="D16" s="33">
        <v>0.85</v>
      </c>
      <c r="E16" s="35"/>
      <c r="F16" s="34" t="s">
        <v>33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40">
        <v>1</v>
      </c>
      <c r="S16" s="33">
        <v>0</v>
      </c>
      <c r="T16" s="33">
        <v>0</v>
      </c>
      <c r="U16" s="33">
        <v>0</v>
      </c>
      <c r="V16" s="41">
        <v>1</v>
      </c>
      <c r="W16" s="43">
        <v>4</v>
      </c>
      <c r="X16" s="33">
        <v>1</v>
      </c>
      <c r="Y16" s="38" t="s">
        <v>26</v>
      </c>
    </row>
    <row r="17" ht="15" customHeight="1" spans="1:25">
      <c r="A17" s="32"/>
      <c r="B17" s="33">
        <v>16</v>
      </c>
      <c r="C17" s="34" t="s">
        <v>25</v>
      </c>
      <c r="D17" s="33">
        <v>0.85</v>
      </c>
      <c r="E17" s="34" t="s">
        <v>34</v>
      </c>
      <c r="F17" s="42"/>
      <c r="G17" s="33">
        <v>0</v>
      </c>
      <c r="H17" s="40">
        <v>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6">
        <v>0</v>
      </c>
      <c r="W17" s="39">
        <v>3</v>
      </c>
      <c r="X17" s="33">
        <v>2</v>
      </c>
      <c r="Y17" s="38" t="s">
        <v>35</v>
      </c>
    </row>
    <row r="18" ht="15" customHeight="1" spans="1:25">
      <c r="A18" s="32"/>
      <c r="B18" s="33">
        <v>17</v>
      </c>
      <c r="C18" s="34" t="s">
        <v>25</v>
      </c>
      <c r="D18" s="33">
        <v>0.85</v>
      </c>
      <c r="E18" s="35"/>
      <c r="F18" s="35"/>
      <c r="G18" s="40">
        <v>1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40">
        <v>1</v>
      </c>
      <c r="S18" s="33">
        <v>0</v>
      </c>
      <c r="T18" s="33">
        <v>0</v>
      </c>
      <c r="U18" s="33">
        <v>0</v>
      </c>
      <c r="V18" s="37">
        <v>2</v>
      </c>
      <c r="W18" s="43">
        <v>4</v>
      </c>
      <c r="X18" s="33">
        <v>3</v>
      </c>
      <c r="Y18" s="38" t="s">
        <v>36</v>
      </c>
    </row>
    <row r="19" ht="15" customHeight="1" spans="1:25">
      <c r="A19" s="32"/>
      <c r="B19" s="33">
        <v>18</v>
      </c>
      <c r="C19" s="34" t="s">
        <v>25</v>
      </c>
      <c r="D19" s="33">
        <v>0.85</v>
      </c>
      <c r="E19" s="44" t="s">
        <v>37</v>
      </c>
      <c r="F19" s="35"/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40">
        <v>1</v>
      </c>
      <c r="R19" s="40">
        <v>1</v>
      </c>
      <c r="S19" s="33">
        <v>0</v>
      </c>
      <c r="T19" s="33">
        <v>0</v>
      </c>
      <c r="U19" s="33">
        <v>0</v>
      </c>
      <c r="V19" s="37">
        <v>2</v>
      </c>
      <c r="W19" s="45">
        <v>5</v>
      </c>
      <c r="X19" s="33">
        <v>4</v>
      </c>
      <c r="Y19" s="38" t="s">
        <v>38</v>
      </c>
    </row>
    <row r="20" ht="27.75" customHeight="1" spans="1:25">
      <c r="A20" s="32"/>
      <c r="B20" s="33">
        <v>19</v>
      </c>
      <c r="C20" s="46" t="s">
        <v>32</v>
      </c>
      <c r="D20" s="33">
        <v>0.6</v>
      </c>
      <c r="E20" s="35"/>
      <c r="F20" s="34" t="s">
        <v>39</v>
      </c>
      <c r="G20" s="33">
        <v>0</v>
      </c>
      <c r="H20" s="40">
        <v>1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40">
        <v>1</v>
      </c>
      <c r="S20" s="33">
        <v>0</v>
      </c>
      <c r="T20" s="33">
        <v>0</v>
      </c>
      <c r="U20" s="33">
        <v>0</v>
      </c>
      <c r="V20" s="41">
        <v>1</v>
      </c>
      <c r="W20" s="45">
        <v>5</v>
      </c>
      <c r="X20" s="33">
        <v>5</v>
      </c>
      <c r="Y20" s="38" t="s">
        <v>40</v>
      </c>
    </row>
    <row r="21" ht="15" customHeight="1" spans="1:25">
      <c r="A21" s="32"/>
      <c r="B21" s="33">
        <v>20</v>
      </c>
      <c r="C21" s="47" t="s">
        <v>41</v>
      </c>
      <c r="D21" s="33">
        <v>0.4</v>
      </c>
      <c r="E21" s="35"/>
      <c r="F21" s="35"/>
      <c r="G21" s="40">
        <v>1</v>
      </c>
      <c r="H21" s="40">
        <v>1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40">
        <v>1</v>
      </c>
      <c r="R21" s="40">
        <v>1</v>
      </c>
      <c r="S21" s="33">
        <v>0</v>
      </c>
      <c r="T21" s="33">
        <v>0</v>
      </c>
      <c r="U21" s="33">
        <v>0</v>
      </c>
      <c r="V21" s="39">
        <v>3</v>
      </c>
      <c r="W21" s="43">
        <v>4</v>
      </c>
      <c r="X21" s="33">
        <v>6</v>
      </c>
      <c r="Y21" s="38" t="s">
        <v>42</v>
      </c>
    </row>
    <row r="22" ht="17.25" customHeight="1" spans="1:25">
      <c r="A22" s="32" t="s">
        <v>43</v>
      </c>
      <c r="B22" s="33">
        <v>21</v>
      </c>
      <c r="C22" s="34" t="s">
        <v>25</v>
      </c>
      <c r="D22" s="33">
        <v>1</v>
      </c>
      <c r="E22" s="34" t="s">
        <v>43</v>
      </c>
      <c r="F22" s="35"/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40">
        <v>1</v>
      </c>
      <c r="T22" s="33">
        <v>1</v>
      </c>
      <c r="U22" s="33">
        <v>1</v>
      </c>
      <c r="V22" s="41">
        <v>1</v>
      </c>
      <c r="W22" s="39">
        <v>3</v>
      </c>
      <c r="X22" s="33">
        <v>1</v>
      </c>
      <c r="Y22" s="38" t="s">
        <v>26</v>
      </c>
    </row>
    <row r="23" ht="15" customHeight="1" spans="1:25">
      <c r="A23" s="32"/>
      <c r="B23" s="33">
        <v>22</v>
      </c>
      <c r="C23" s="34" t="s">
        <v>25</v>
      </c>
      <c r="D23" s="33">
        <v>0.85</v>
      </c>
      <c r="E23" s="35"/>
      <c r="F23" s="35"/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40">
        <v>1</v>
      </c>
      <c r="T23" s="33">
        <v>1</v>
      </c>
      <c r="U23" s="33">
        <v>1</v>
      </c>
      <c r="V23" s="41">
        <v>1</v>
      </c>
      <c r="W23" s="43">
        <v>4</v>
      </c>
      <c r="X23" s="33">
        <v>1</v>
      </c>
      <c r="Y23" s="38" t="s">
        <v>26</v>
      </c>
    </row>
    <row r="24" ht="15" customHeight="1" spans="1:25">
      <c r="A24" s="32"/>
      <c r="B24" s="33">
        <v>23</v>
      </c>
      <c r="C24" s="34" t="s">
        <v>25</v>
      </c>
      <c r="D24" s="33">
        <v>0.85</v>
      </c>
      <c r="E24" s="44" t="s">
        <v>44</v>
      </c>
      <c r="F24" s="35"/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40">
        <v>1</v>
      </c>
      <c r="S24" s="33">
        <v>0</v>
      </c>
      <c r="T24" s="33">
        <v>0</v>
      </c>
      <c r="U24" s="33">
        <v>0</v>
      </c>
      <c r="V24" s="41">
        <v>1</v>
      </c>
      <c r="W24" s="43">
        <v>4</v>
      </c>
      <c r="X24" s="33">
        <v>2</v>
      </c>
      <c r="Y24" s="38" t="s">
        <v>35</v>
      </c>
    </row>
    <row r="25" ht="42.75" customHeight="1" spans="1:25">
      <c r="A25" s="32"/>
      <c r="B25" s="33">
        <v>24</v>
      </c>
      <c r="C25" s="46" t="s">
        <v>32</v>
      </c>
      <c r="D25" s="33">
        <v>0.6</v>
      </c>
      <c r="E25" s="35"/>
      <c r="F25" s="34" t="s">
        <v>45</v>
      </c>
      <c r="G25" s="40">
        <v>1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40">
        <v>1</v>
      </c>
      <c r="S25" s="40">
        <v>1</v>
      </c>
      <c r="T25" s="33">
        <v>1</v>
      </c>
      <c r="U25" s="33">
        <v>1</v>
      </c>
      <c r="V25" s="39">
        <v>3</v>
      </c>
      <c r="W25" s="45">
        <v>5</v>
      </c>
      <c r="X25" s="33">
        <v>2</v>
      </c>
      <c r="Y25" s="38" t="s">
        <v>35</v>
      </c>
    </row>
    <row r="26" ht="15" customHeight="1" spans="1:25">
      <c r="A26" s="32"/>
      <c r="B26" s="33">
        <v>25</v>
      </c>
      <c r="C26" s="34" t="s">
        <v>25</v>
      </c>
      <c r="D26" s="33">
        <v>0.85</v>
      </c>
      <c r="E26" s="35"/>
      <c r="F26" s="34" t="s">
        <v>46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40">
        <v>1</v>
      </c>
      <c r="R26" s="40">
        <v>1</v>
      </c>
      <c r="S26" s="33">
        <v>0</v>
      </c>
      <c r="T26" s="33">
        <v>0</v>
      </c>
      <c r="U26" s="33">
        <v>0</v>
      </c>
      <c r="V26" s="37">
        <v>2</v>
      </c>
      <c r="W26" s="39">
        <v>3</v>
      </c>
      <c r="X26" s="33">
        <v>1</v>
      </c>
      <c r="Y26" s="38" t="s">
        <v>26</v>
      </c>
    </row>
    <row r="27" ht="15" customHeight="1" spans="1:25">
      <c r="A27" s="32"/>
      <c r="B27" s="33">
        <v>26</v>
      </c>
      <c r="C27" s="34" t="s">
        <v>25</v>
      </c>
      <c r="D27" s="33">
        <v>0.85</v>
      </c>
      <c r="E27" s="44" t="s">
        <v>47</v>
      </c>
      <c r="F27" s="35"/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40">
        <v>1</v>
      </c>
      <c r="R27" s="33">
        <v>0</v>
      </c>
      <c r="S27" s="40">
        <v>1</v>
      </c>
      <c r="T27" s="33">
        <v>1</v>
      </c>
      <c r="U27" s="33">
        <v>1</v>
      </c>
      <c r="V27" s="37">
        <v>2</v>
      </c>
      <c r="W27" s="43">
        <v>4</v>
      </c>
      <c r="X27" s="33">
        <v>1</v>
      </c>
      <c r="Y27" s="38" t="s">
        <v>26</v>
      </c>
    </row>
    <row r="28" ht="15" customHeight="1" spans="1:25">
      <c r="A28" s="32"/>
      <c r="B28" s="33">
        <v>27</v>
      </c>
      <c r="C28" s="46" t="s">
        <v>32</v>
      </c>
      <c r="D28" s="33">
        <v>0.6</v>
      </c>
      <c r="E28" s="35"/>
      <c r="F28" s="35"/>
      <c r="G28" s="40">
        <v>1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40">
        <v>1</v>
      </c>
      <c r="R28" s="40">
        <v>1</v>
      </c>
      <c r="S28" s="40">
        <v>1</v>
      </c>
      <c r="T28" s="33">
        <v>1</v>
      </c>
      <c r="U28" s="33">
        <v>1</v>
      </c>
      <c r="V28" s="43">
        <v>4</v>
      </c>
      <c r="W28" s="43">
        <v>4</v>
      </c>
      <c r="X28" s="33">
        <v>2</v>
      </c>
      <c r="Y28" s="38" t="s">
        <v>35</v>
      </c>
    </row>
    <row r="29" ht="15" customHeight="1" spans="1:25">
      <c r="A29" s="32"/>
      <c r="B29" s="33">
        <v>28</v>
      </c>
      <c r="C29" s="34" t="s">
        <v>25</v>
      </c>
      <c r="D29" s="33">
        <v>0.85</v>
      </c>
      <c r="E29" s="35"/>
      <c r="F29" s="35"/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40">
        <v>1</v>
      </c>
      <c r="R29" s="40">
        <v>1</v>
      </c>
      <c r="S29" s="33">
        <v>0</v>
      </c>
      <c r="T29" s="33">
        <v>0</v>
      </c>
      <c r="U29" s="33">
        <v>0</v>
      </c>
      <c r="V29" s="37">
        <v>2</v>
      </c>
      <c r="W29" s="39">
        <v>3</v>
      </c>
      <c r="X29" s="33">
        <v>1</v>
      </c>
      <c r="Y29" s="38" t="s">
        <v>26</v>
      </c>
    </row>
    <row r="30" ht="15" customHeight="1" spans="1:25">
      <c r="A30" s="32"/>
      <c r="B30" s="33">
        <v>29</v>
      </c>
      <c r="C30" s="34" t="s">
        <v>25</v>
      </c>
      <c r="D30" s="33">
        <v>0.85</v>
      </c>
      <c r="E30" s="35"/>
      <c r="F30" s="35"/>
      <c r="G30" s="33">
        <v>0</v>
      </c>
      <c r="H30" s="40">
        <v>1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40">
        <v>1</v>
      </c>
      <c r="R30" s="33">
        <v>0</v>
      </c>
      <c r="S30" s="40">
        <v>1</v>
      </c>
      <c r="T30" s="33">
        <v>1</v>
      </c>
      <c r="U30" s="33">
        <v>1</v>
      </c>
      <c r="V30" s="37">
        <v>2</v>
      </c>
      <c r="W30" s="43">
        <v>4</v>
      </c>
      <c r="X30" s="33">
        <v>1</v>
      </c>
      <c r="Y30" s="38" t="s">
        <v>26</v>
      </c>
    </row>
    <row r="31" ht="15" customHeight="1" spans="1:25">
      <c r="A31" s="32"/>
      <c r="B31" s="33">
        <v>30</v>
      </c>
      <c r="C31" s="47" t="s">
        <v>41</v>
      </c>
      <c r="D31" s="33">
        <v>0.4</v>
      </c>
      <c r="E31" s="35"/>
      <c r="F31" s="35"/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40">
        <v>1</v>
      </c>
      <c r="S31" s="40">
        <v>1</v>
      </c>
      <c r="T31" s="33">
        <v>1</v>
      </c>
      <c r="U31" s="33">
        <v>1</v>
      </c>
      <c r="V31" s="37">
        <v>2</v>
      </c>
      <c r="W31" s="43">
        <v>4</v>
      </c>
      <c r="X31" s="33">
        <v>3</v>
      </c>
      <c r="Y31" s="38" t="s">
        <v>36</v>
      </c>
    </row>
    <row r="32" ht="15" customHeight="1" spans="1:25">
      <c r="A32" s="32"/>
      <c r="B32" s="33">
        <v>31</v>
      </c>
      <c r="C32" s="34" t="s">
        <v>25</v>
      </c>
      <c r="D32" s="33">
        <v>0.85</v>
      </c>
      <c r="E32" s="35"/>
      <c r="F32" s="42"/>
      <c r="G32" s="40">
        <v>1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40">
        <v>1</v>
      </c>
      <c r="S32" s="33">
        <v>0</v>
      </c>
      <c r="T32" s="33">
        <v>0</v>
      </c>
      <c r="U32" s="33">
        <v>0</v>
      </c>
      <c r="V32" s="37">
        <v>2</v>
      </c>
      <c r="W32" s="43">
        <v>4</v>
      </c>
      <c r="X32" s="33">
        <v>1</v>
      </c>
      <c r="Y32" s="38" t="s">
        <v>26</v>
      </c>
    </row>
    <row r="33" ht="15" customHeight="1" spans="1:25">
      <c r="A33" s="32"/>
      <c r="B33" s="33">
        <v>32</v>
      </c>
      <c r="C33" s="34" t="s">
        <v>25</v>
      </c>
      <c r="D33" s="33">
        <v>0.85</v>
      </c>
      <c r="E33" s="35"/>
      <c r="F33" s="35"/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40">
        <v>1</v>
      </c>
      <c r="T33" s="33">
        <v>1</v>
      </c>
      <c r="U33" s="33">
        <v>1</v>
      </c>
      <c r="V33" s="41">
        <v>1</v>
      </c>
      <c r="W33" s="39">
        <v>3</v>
      </c>
      <c r="X33" s="33">
        <v>1</v>
      </c>
      <c r="Y33" s="38" t="s">
        <v>26</v>
      </c>
    </row>
    <row r="34" ht="15" customHeight="1" spans="1:25">
      <c r="A34" s="32"/>
      <c r="B34" s="33">
        <v>33</v>
      </c>
      <c r="C34" s="34" t="s">
        <v>25</v>
      </c>
      <c r="D34" s="33">
        <v>0.85</v>
      </c>
      <c r="E34" s="35"/>
      <c r="F34" s="35"/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40">
        <v>1</v>
      </c>
      <c r="S34" s="40">
        <v>1</v>
      </c>
      <c r="T34" s="33">
        <v>1</v>
      </c>
      <c r="U34" s="33">
        <v>1</v>
      </c>
      <c r="V34" s="37">
        <v>2</v>
      </c>
      <c r="W34" s="43">
        <v>4</v>
      </c>
      <c r="X34" s="33">
        <v>2</v>
      </c>
      <c r="Y34" s="38" t="s">
        <v>35</v>
      </c>
    </row>
    <row r="35" ht="17.25" customHeight="1" spans="1:25">
      <c r="A35" s="32" t="s">
        <v>48</v>
      </c>
      <c r="B35" s="33">
        <v>34</v>
      </c>
      <c r="C35" s="34" t="s">
        <v>25</v>
      </c>
      <c r="D35" s="33">
        <v>0.85</v>
      </c>
      <c r="E35" s="34" t="s">
        <v>48</v>
      </c>
      <c r="F35" s="35"/>
      <c r="G35" s="33">
        <v>0</v>
      </c>
      <c r="H35" s="33">
        <v>0</v>
      </c>
      <c r="I35" s="33">
        <v>0</v>
      </c>
      <c r="J35" s="48">
        <v>1</v>
      </c>
      <c r="K35" s="33">
        <v>0</v>
      </c>
      <c r="L35" s="33">
        <v>0</v>
      </c>
      <c r="M35" s="40">
        <v>1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41">
        <v>1</v>
      </c>
      <c r="W35" s="39">
        <v>3</v>
      </c>
      <c r="X35" s="33">
        <v>1</v>
      </c>
      <c r="Y35" s="38" t="s">
        <v>26</v>
      </c>
    </row>
    <row r="36" ht="27.75" customHeight="1" spans="1:25">
      <c r="A36" s="32"/>
      <c r="B36" s="33">
        <v>35</v>
      </c>
      <c r="C36" s="34" t="s">
        <v>25</v>
      </c>
      <c r="D36" s="33">
        <v>0.85</v>
      </c>
      <c r="E36" s="35"/>
      <c r="F36" s="49" t="s">
        <v>49</v>
      </c>
      <c r="G36" s="33">
        <v>0</v>
      </c>
      <c r="H36" s="33">
        <v>0</v>
      </c>
      <c r="I36" s="33">
        <v>0</v>
      </c>
      <c r="J36" s="48">
        <v>1</v>
      </c>
      <c r="K36" s="48">
        <v>1</v>
      </c>
      <c r="L36" s="33">
        <v>0</v>
      </c>
      <c r="M36" s="40">
        <v>1</v>
      </c>
      <c r="N36" s="33">
        <v>0</v>
      </c>
      <c r="O36" s="33">
        <v>0</v>
      </c>
      <c r="P36" s="33">
        <v>0</v>
      </c>
      <c r="Q36" s="40">
        <v>1</v>
      </c>
      <c r="R36" s="33">
        <v>0</v>
      </c>
      <c r="S36" s="33">
        <v>0</v>
      </c>
      <c r="T36" s="33">
        <v>0</v>
      </c>
      <c r="U36" s="33">
        <v>0</v>
      </c>
      <c r="V36" s="37">
        <v>2</v>
      </c>
      <c r="W36" s="43">
        <v>4</v>
      </c>
      <c r="X36" s="33">
        <v>1</v>
      </c>
      <c r="Y36" s="38" t="s">
        <v>26</v>
      </c>
    </row>
    <row r="37" ht="15" customHeight="1" spans="1:25">
      <c r="A37" s="32"/>
      <c r="B37" s="33">
        <v>36</v>
      </c>
      <c r="C37" s="34" t="s">
        <v>25</v>
      </c>
      <c r="D37" s="33">
        <v>0.85</v>
      </c>
      <c r="E37" s="35"/>
      <c r="F37" s="42"/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48">
        <v>1</v>
      </c>
      <c r="M37" s="40">
        <v>1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40">
        <v>1</v>
      </c>
      <c r="T37" s="33">
        <v>1</v>
      </c>
      <c r="U37" s="33">
        <v>1</v>
      </c>
      <c r="V37" s="37">
        <v>2</v>
      </c>
      <c r="W37" s="39">
        <v>3</v>
      </c>
      <c r="X37" s="33">
        <v>2</v>
      </c>
      <c r="Y37" s="38" t="s">
        <v>35</v>
      </c>
    </row>
    <row r="38" ht="15" customHeight="1" spans="1:25">
      <c r="A38" s="32"/>
      <c r="B38" s="33">
        <v>37</v>
      </c>
      <c r="C38" s="34" t="s">
        <v>25</v>
      </c>
      <c r="D38" s="33">
        <v>0.85</v>
      </c>
      <c r="E38" s="35"/>
      <c r="F38" s="35"/>
      <c r="G38" s="33">
        <v>0</v>
      </c>
      <c r="H38" s="33">
        <v>0</v>
      </c>
      <c r="I38" s="33">
        <v>0</v>
      </c>
      <c r="J38" s="33">
        <v>0</v>
      </c>
      <c r="K38" s="48">
        <v>1</v>
      </c>
      <c r="L38" s="33">
        <v>0</v>
      </c>
      <c r="M38" s="40">
        <v>1</v>
      </c>
      <c r="N38" s="33">
        <v>0</v>
      </c>
      <c r="O38" s="33">
        <v>0</v>
      </c>
      <c r="P38" s="33">
        <v>0</v>
      </c>
      <c r="Q38" s="33">
        <v>0</v>
      </c>
      <c r="R38" s="40">
        <v>1</v>
      </c>
      <c r="S38" s="33">
        <v>0</v>
      </c>
      <c r="T38" s="33">
        <v>0</v>
      </c>
      <c r="U38" s="33">
        <v>0</v>
      </c>
      <c r="V38" s="37">
        <v>2</v>
      </c>
      <c r="W38" s="43">
        <v>4</v>
      </c>
      <c r="X38" s="33">
        <v>1</v>
      </c>
      <c r="Y38" s="38" t="s">
        <v>26</v>
      </c>
    </row>
    <row r="39" ht="15" customHeight="1" spans="1:25">
      <c r="A39" s="32"/>
      <c r="B39" s="33">
        <v>38</v>
      </c>
      <c r="C39" s="46" t="s">
        <v>32</v>
      </c>
      <c r="D39" s="33">
        <v>0.6</v>
      </c>
      <c r="E39" s="35"/>
      <c r="F39" s="35"/>
      <c r="G39" s="33">
        <v>0</v>
      </c>
      <c r="H39" s="33">
        <v>0</v>
      </c>
      <c r="I39" s="33">
        <v>0</v>
      </c>
      <c r="J39" s="48">
        <v>1</v>
      </c>
      <c r="K39" s="48">
        <v>1</v>
      </c>
      <c r="L39" s="33">
        <v>0</v>
      </c>
      <c r="M39" s="40">
        <v>1</v>
      </c>
      <c r="N39" s="33">
        <v>0</v>
      </c>
      <c r="O39" s="33">
        <v>0</v>
      </c>
      <c r="P39" s="33">
        <v>0</v>
      </c>
      <c r="Q39" s="33">
        <v>0</v>
      </c>
      <c r="R39" s="40">
        <v>1</v>
      </c>
      <c r="S39" s="40">
        <v>1</v>
      </c>
      <c r="T39" s="33">
        <v>1</v>
      </c>
      <c r="U39" s="33">
        <v>1</v>
      </c>
      <c r="V39" s="39">
        <v>3</v>
      </c>
      <c r="W39" s="43">
        <v>4</v>
      </c>
      <c r="X39" s="33">
        <v>1</v>
      </c>
      <c r="Y39" s="38" t="s">
        <v>26</v>
      </c>
    </row>
    <row r="40" ht="15" customHeight="1" spans="1:25">
      <c r="A40" s="32"/>
      <c r="B40" s="33">
        <v>39</v>
      </c>
      <c r="C40" s="34" t="s">
        <v>25</v>
      </c>
      <c r="D40" s="33">
        <v>0.85</v>
      </c>
      <c r="E40" s="35"/>
      <c r="F40" s="35"/>
      <c r="G40" s="33">
        <v>0</v>
      </c>
      <c r="H40" s="40">
        <v>1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40">
        <v>1</v>
      </c>
      <c r="S40" s="40">
        <v>1</v>
      </c>
      <c r="T40" s="33">
        <v>1</v>
      </c>
      <c r="U40" s="33">
        <v>1</v>
      </c>
      <c r="V40" s="37">
        <v>2</v>
      </c>
      <c r="W40" s="43">
        <v>4</v>
      </c>
      <c r="X40" s="33">
        <v>2</v>
      </c>
      <c r="Y40" s="38" t="s">
        <v>35</v>
      </c>
    </row>
    <row r="41" ht="15" customHeight="1" spans="1:25">
      <c r="A41" s="32"/>
      <c r="B41" s="33">
        <v>40</v>
      </c>
      <c r="C41" s="34" t="s">
        <v>25</v>
      </c>
      <c r="D41" s="33">
        <v>0.85</v>
      </c>
      <c r="E41" s="35"/>
      <c r="F41" s="35"/>
      <c r="G41" s="33">
        <v>0</v>
      </c>
      <c r="H41" s="33">
        <v>0</v>
      </c>
      <c r="I41" s="33">
        <v>0</v>
      </c>
      <c r="J41" s="48">
        <v>1</v>
      </c>
      <c r="K41" s="48">
        <v>1</v>
      </c>
      <c r="L41" s="33">
        <v>0</v>
      </c>
      <c r="M41" s="40">
        <v>1</v>
      </c>
      <c r="N41" s="33">
        <v>0</v>
      </c>
      <c r="O41" s="33">
        <v>0</v>
      </c>
      <c r="P41" s="33">
        <v>0</v>
      </c>
      <c r="Q41" s="40">
        <v>1</v>
      </c>
      <c r="R41" s="33">
        <v>0</v>
      </c>
      <c r="S41" s="33">
        <v>0</v>
      </c>
      <c r="T41" s="33">
        <v>0</v>
      </c>
      <c r="U41" s="33">
        <v>0</v>
      </c>
      <c r="V41" s="37">
        <v>2</v>
      </c>
      <c r="W41" s="43">
        <v>4</v>
      </c>
      <c r="X41" s="33">
        <v>3</v>
      </c>
      <c r="Y41" s="38" t="s">
        <v>36</v>
      </c>
    </row>
    <row r="42" ht="15" customHeight="1" spans="1:25">
      <c r="A42" s="32"/>
      <c r="B42" s="33">
        <v>41</v>
      </c>
      <c r="C42" s="34" t="s">
        <v>25</v>
      </c>
      <c r="D42" s="33">
        <v>0.85</v>
      </c>
      <c r="E42" s="35"/>
      <c r="F42" s="35"/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48">
        <v>1</v>
      </c>
      <c r="M42" s="40">
        <v>1</v>
      </c>
      <c r="N42" s="33">
        <v>0</v>
      </c>
      <c r="O42" s="33">
        <v>0</v>
      </c>
      <c r="P42" s="33">
        <v>0</v>
      </c>
      <c r="Q42" s="40">
        <v>1</v>
      </c>
      <c r="R42" s="33">
        <v>0</v>
      </c>
      <c r="S42" s="40">
        <v>1</v>
      </c>
      <c r="T42" s="33">
        <v>1</v>
      </c>
      <c r="U42" s="33">
        <v>1</v>
      </c>
      <c r="V42" s="39">
        <v>3</v>
      </c>
      <c r="W42" s="45">
        <v>5</v>
      </c>
      <c r="X42" s="33">
        <v>2</v>
      </c>
      <c r="Y42" s="38" t="s">
        <v>35</v>
      </c>
    </row>
    <row r="43" ht="15" customHeight="1" spans="1:25">
      <c r="A43" s="32"/>
      <c r="B43" s="33">
        <v>42</v>
      </c>
      <c r="C43" s="46" t="s">
        <v>32</v>
      </c>
      <c r="D43" s="33">
        <v>0.6</v>
      </c>
      <c r="E43" s="35"/>
      <c r="F43" s="35"/>
      <c r="G43" s="33">
        <v>0</v>
      </c>
      <c r="H43" s="33">
        <v>0</v>
      </c>
      <c r="I43" s="33">
        <v>0</v>
      </c>
      <c r="J43" s="48">
        <v>1</v>
      </c>
      <c r="K43" s="48">
        <v>1</v>
      </c>
      <c r="L43" s="48">
        <v>1</v>
      </c>
      <c r="M43" s="40">
        <v>1</v>
      </c>
      <c r="N43" s="33">
        <v>0</v>
      </c>
      <c r="O43" s="33">
        <v>0</v>
      </c>
      <c r="P43" s="33">
        <v>0</v>
      </c>
      <c r="Q43" s="33">
        <v>0</v>
      </c>
      <c r="R43" s="40">
        <v>1</v>
      </c>
      <c r="S43" s="40">
        <v>1</v>
      </c>
      <c r="T43" s="33">
        <v>1</v>
      </c>
      <c r="U43" s="33">
        <v>1</v>
      </c>
      <c r="V43" s="39">
        <v>3</v>
      </c>
      <c r="W43" s="45">
        <v>5</v>
      </c>
      <c r="X43" s="33">
        <v>2</v>
      </c>
      <c r="Y43" s="38" t="s">
        <v>35</v>
      </c>
    </row>
    <row r="44" ht="15" customHeight="1" spans="1:25">
      <c r="A44" s="32"/>
      <c r="B44" s="33">
        <v>43</v>
      </c>
      <c r="C44" s="34" t="s">
        <v>25</v>
      </c>
      <c r="D44" s="33">
        <v>0.85</v>
      </c>
      <c r="E44" s="35"/>
      <c r="F44" s="35"/>
      <c r="G44" s="40">
        <v>1</v>
      </c>
      <c r="H44" s="33">
        <v>0</v>
      </c>
      <c r="I44" s="33">
        <v>0</v>
      </c>
      <c r="J44" s="33">
        <v>0</v>
      </c>
      <c r="K44" s="33">
        <v>0</v>
      </c>
      <c r="L44" s="48">
        <v>1</v>
      </c>
      <c r="M44" s="40">
        <v>1</v>
      </c>
      <c r="N44" s="33">
        <v>0</v>
      </c>
      <c r="O44" s="33">
        <v>0</v>
      </c>
      <c r="P44" s="33">
        <v>0</v>
      </c>
      <c r="Q44" s="40">
        <v>1</v>
      </c>
      <c r="R44" s="33">
        <v>0</v>
      </c>
      <c r="S44" s="33">
        <v>0</v>
      </c>
      <c r="T44" s="33">
        <v>0</v>
      </c>
      <c r="U44" s="33">
        <v>0</v>
      </c>
      <c r="V44" s="39">
        <v>3</v>
      </c>
      <c r="W44" s="43">
        <v>4</v>
      </c>
      <c r="X44" s="33">
        <v>3</v>
      </c>
      <c r="Y44" s="38" t="s">
        <v>36</v>
      </c>
    </row>
    <row r="45" ht="15" customHeight="1" spans="1:25">
      <c r="A45" s="32"/>
      <c r="B45" s="33">
        <v>44</v>
      </c>
      <c r="C45" s="34" t="s">
        <v>25</v>
      </c>
      <c r="D45" s="33">
        <v>0.85</v>
      </c>
      <c r="E45" s="35"/>
      <c r="F45" s="35"/>
      <c r="G45" s="33">
        <v>0</v>
      </c>
      <c r="H45" s="33">
        <v>0</v>
      </c>
      <c r="I45" s="33">
        <v>0</v>
      </c>
      <c r="J45" s="48">
        <v>1</v>
      </c>
      <c r="K45" s="33">
        <v>0</v>
      </c>
      <c r="L45" s="33">
        <v>0</v>
      </c>
      <c r="M45" s="40">
        <v>1</v>
      </c>
      <c r="N45" s="33">
        <v>0</v>
      </c>
      <c r="O45" s="33">
        <v>0</v>
      </c>
      <c r="P45" s="33">
        <v>0</v>
      </c>
      <c r="Q45" s="40">
        <v>1</v>
      </c>
      <c r="R45" s="33">
        <v>0</v>
      </c>
      <c r="S45" s="40">
        <v>1</v>
      </c>
      <c r="T45" s="33">
        <v>1</v>
      </c>
      <c r="U45" s="33">
        <v>1</v>
      </c>
      <c r="V45" s="39">
        <v>3</v>
      </c>
      <c r="W45" s="43">
        <v>4</v>
      </c>
      <c r="X45" s="33">
        <v>3</v>
      </c>
      <c r="Y45" s="38" t="s">
        <v>36</v>
      </c>
    </row>
    <row r="46" ht="15" customHeight="1" spans="1:25">
      <c r="A46" s="32"/>
      <c r="B46" s="33">
        <v>45</v>
      </c>
      <c r="C46" s="34" t="s">
        <v>25</v>
      </c>
      <c r="D46" s="33">
        <v>0.85</v>
      </c>
      <c r="E46" s="35"/>
      <c r="F46" s="34" t="s">
        <v>50</v>
      </c>
      <c r="G46" s="33">
        <v>0</v>
      </c>
      <c r="H46" s="33">
        <v>0</v>
      </c>
      <c r="I46" s="33">
        <v>0</v>
      </c>
      <c r="J46" s="48">
        <v>1</v>
      </c>
      <c r="K46" s="48">
        <v>1</v>
      </c>
      <c r="L46" s="33">
        <v>0</v>
      </c>
      <c r="M46" s="40">
        <v>1</v>
      </c>
      <c r="N46" s="33">
        <v>0</v>
      </c>
      <c r="O46" s="33">
        <v>0</v>
      </c>
      <c r="P46" s="33">
        <v>0</v>
      </c>
      <c r="Q46" s="40">
        <v>1</v>
      </c>
      <c r="R46" s="40">
        <v>1</v>
      </c>
      <c r="S46" s="33">
        <v>0</v>
      </c>
      <c r="T46" s="33">
        <v>0</v>
      </c>
      <c r="U46" s="33">
        <v>0</v>
      </c>
      <c r="V46" s="39">
        <v>3</v>
      </c>
      <c r="W46" s="43">
        <v>4</v>
      </c>
      <c r="X46" s="33">
        <v>4</v>
      </c>
      <c r="Y46" s="38" t="s">
        <v>38</v>
      </c>
    </row>
    <row r="47" ht="15" customHeight="1" spans="1:25">
      <c r="A47" s="32"/>
      <c r="B47" s="33">
        <v>46</v>
      </c>
      <c r="C47" s="47" t="s">
        <v>41</v>
      </c>
      <c r="D47" s="33">
        <v>0.4</v>
      </c>
      <c r="E47" s="35"/>
      <c r="F47" s="35"/>
      <c r="G47" s="40">
        <v>1</v>
      </c>
      <c r="H47" s="33">
        <v>0</v>
      </c>
      <c r="I47" s="33">
        <v>0</v>
      </c>
      <c r="J47" s="48">
        <v>1</v>
      </c>
      <c r="K47" s="48">
        <v>1</v>
      </c>
      <c r="L47" s="48">
        <v>1</v>
      </c>
      <c r="M47" s="40">
        <v>1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40">
        <v>1</v>
      </c>
      <c r="T47" s="33">
        <v>1</v>
      </c>
      <c r="U47" s="33">
        <v>1</v>
      </c>
      <c r="V47" s="39">
        <v>3</v>
      </c>
      <c r="W47" s="43">
        <v>4</v>
      </c>
      <c r="X47" s="33">
        <v>6</v>
      </c>
      <c r="Y47" s="38" t="s">
        <v>42</v>
      </c>
    </row>
    <row r="48" ht="15" customHeight="1" spans="1:25">
      <c r="A48" s="32"/>
      <c r="B48" s="33">
        <v>47</v>
      </c>
      <c r="C48" s="34" t="s">
        <v>25</v>
      </c>
      <c r="D48" s="33">
        <v>0.85</v>
      </c>
      <c r="E48" s="35"/>
      <c r="F48" s="35"/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48">
        <v>1</v>
      </c>
      <c r="M48" s="40">
        <v>1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40">
        <v>1</v>
      </c>
      <c r="T48" s="33">
        <v>1</v>
      </c>
      <c r="U48" s="33">
        <v>1</v>
      </c>
      <c r="V48" s="37">
        <v>2</v>
      </c>
      <c r="W48" s="43">
        <v>4</v>
      </c>
      <c r="X48" s="33">
        <v>2</v>
      </c>
      <c r="Y48" s="38" t="s">
        <v>35</v>
      </c>
    </row>
    <row r="49" ht="15" customHeight="1" spans="1:25">
      <c r="A49" s="32"/>
      <c r="B49" s="33">
        <v>48</v>
      </c>
      <c r="C49" s="34" t="s">
        <v>25</v>
      </c>
      <c r="D49" s="33">
        <v>0.85</v>
      </c>
      <c r="E49" s="35"/>
      <c r="F49" s="35"/>
      <c r="G49" s="33">
        <v>0</v>
      </c>
      <c r="H49" s="33">
        <v>0</v>
      </c>
      <c r="I49" s="33">
        <v>0</v>
      </c>
      <c r="J49" s="33">
        <v>0</v>
      </c>
      <c r="K49" s="48">
        <v>1</v>
      </c>
      <c r="L49" s="33">
        <v>0</v>
      </c>
      <c r="M49" s="40">
        <v>1</v>
      </c>
      <c r="N49" s="33">
        <v>0</v>
      </c>
      <c r="O49" s="33">
        <v>0</v>
      </c>
      <c r="P49" s="33">
        <v>0</v>
      </c>
      <c r="Q49" s="33">
        <v>0</v>
      </c>
      <c r="R49" s="40">
        <v>1</v>
      </c>
      <c r="S49" s="33">
        <v>0</v>
      </c>
      <c r="T49" s="33">
        <v>0</v>
      </c>
      <c r="U49" s="33">
        <v>0</v>
      </c>
      <c r="V49" s="37">
        <v>2</v>
      </c>
      <c r="W49" s="43">
        <v>4</v>
      </c>
      <c r="X49" s="33">
        <v>3</v>
      </c>
      <c r="Y49" s="38" t="s">
        <v>36</v>
      </c>
    </row>
    <row r="50" ht="17.25" customHeight="1" spans="1:25">
      <c r="A50" s="32" t="s">
        <v>51</v>
      </c>
      <c r="B50" s="33">
        <v>49</v>
      </c>
      <c r="C50" s="34" t="s">
        <v>25</v>
      </c>
      <c r="D50" s="33">
        <v>0.85</v>
      </c>
      <c r="E50" s="34" t="s">
        <v>51</v>
      </c>
      <c r="F50" s="35"/>
      <c r="G50" s="33">
        <v>0</v>
      </c>
      <c r="H50" s="33">
        <v>0</v>
      </c>
      <c r="I50" s="40">
        <v>1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41">
        <v>1</v>
      </c>
      <c r="W50" s="43">
        <v>4</v>
      </c>
      <c r="X50" s="33">
        <v>2</v>
      </c>
      <c r="Y50" s="38" t="s">
        <v>35</v>
      </c>
    </row>
    <row r="51" ht="15" customHeight="1" spans="1:25">
      <c r="A51" s="32"/>
      <c r="B51" s="33">
        <v>50</v>
      </c>
      <c r="C51" s="34" t="s">
        <v>25</v>
      </c>
      <c r="D51" s="33">
        <v>0.85</v>
      </c>
      <c r="E51" s="35"/>
      <c r="F51" s="35"/>
      <c r="G51" s="33">
        <v>0</v>
      </c>
      <c r="H51" s="33">
        <v>0</v>
      </c>
      <c r="I51" s="40">
        <v>1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40">
        <v>1</v>
      </c>
      <c r="R51" s="33">
        <v>0</v>
      </c>
      <c r="S51" s="33">
        <v>0</v>
      </c>
      <c r="T51" s="33">
        <v>0</v>
      </c>
      <c r="U51" s="33">
        <v>0</v>
      </c>
      <c r="V51" s="37">
        <v>2</v>
      </c>
      <c r="W51" s="43">
        <v>4</v>
      </c>
      <c r="X51" s="33">
        <v>2</v>
      </c>
      <c r="Y51" s="38" t="s">
        <v>35</v>
      </c>
    </row>
    <row r="52" ht="15" customHeight="1" spans="1:25">
      <c r="A52" s="32"/>
      <c r="B52" s="33">
        <v>51</v>
      </c>
      <c r="C52" s="34" t="s">
        <v>25</v>
      </c>
      <c r="D52" s="33">
        <v>0.85</v>
      </c>
      <c r="E52" s="35"/>
      <c r="F52" s="35"/>
      <c r="G52" s="33">
        <v>0</v>
      </c>
      <c r="H52" s="33">
        <v>0</v>
      </c>
      <c r="I52" s="40">
        <v>1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40">
        <v>1</v>
      </c>
      <c r="S52" s="33">
        <v>0</v>
      </c>
      <c r="T52" s="33">
        <v>0</v>
      </c>
      <c r="U52" s="33">
        <v>0</v>
      </c>
      <c r="V52" s="37">
        <v>2</v>
      </c>
      <c r="W52" s="43">
        <v>4</v>
      </c>
      <c r="X52" s="33">
        <v>3</v>
      </c>
      <c r="Y52" s="38" t="s">
        <v>36</v>
      </c>
    </row>
    <row r="53" ht="15" customHeight="1" spans="1:25">
      <c r="A53" s="32"/>
      <c r="B53" s="33">
        <v>52</v>
      </c>
      <c r="C53" s="46" t="s">
        <v>32</v>
      </c>
      <c r="D53" s="33">
        <v>0.6</v>
      </c>
      <c r="E53" s="35"/>
      <c r="F53" s="35"/>
      <c r="G53" s="33">
        <v>0</v>
      </c>
      <c r="H53" s="33">
        <v>0</v>
      </c>
      <c r="I53" s="40">
        <v>1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40">
        <v>1</v>
      </c>
      <c r="R53" s="40">
        <v>1</v>
      </c>
      <c r="S53" s="33">
        <v>0</v>
      </c>
      <c r="T53" s="33">
        <v>0</v>
      </c>
      <c r="U53" s="33">
        <v>0</v>
      </c>
      <c r="V53" s="39">
        <v>3</v>
      </c>
      <c r="W53" s="45">
        <v>5</v>
      </c>
      <c r="X53" s="33">
        <v>3</v>
      </c>
      <c r="Y53" s="38" t="s">
        <v>36</v>
      </c>
    </row>
    <row r="54" ht="15" customHeight="1" spans="1:25">
      <c r="A54" s="32"/>
      <c r="B54" s="33">
        <v>53</v>
      </c>
      <c r="C54" s="34" t="s">
        <v>25</v>
      </c>
      <c r="D54" s="33">
        <v>0.85</v>
      </c>
      <c r="E54" s="35"/>
      <c r="F54" s="35"/>
      <c r="G54" s="40">
        <v>1</v>
      </c>
      <c r="H54" s="33">
        <v>0</v>
      </c>
      <c r="I54" s="40">
        <v>1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40">
        <v>1</v>
      </c>
      <c r="T54" s="33">
        <v>0</v>
      </c>
      <c r="U54" s="33">
        <v>1</v>
      </c>
      <c r="V54" s="39">
        <v>3</v>
      </c>
      <c r="W54" s="43">
        <v>4</v>
      </c>
      <c r="X54" s="33">
        <v>2</v>
      </c>
      <c r="Y54" s="38" t="s">
        <v>35</v>
      </c>
    </row>
    <row r="55" ht="15" customHeight="1" spans="1:25">
      <c r="A55" s="32"/>
      <c r="B55" s="33">
        <v>54</v>
      </c>
      <c r="C55" s="46" t="s">
        <v>32</v>
      </c>
      <c r="D55" s="33">
        <v>0.6</v>
      </c>
      <c r="E55" s="35"/>
      <c r="F55" s="35"/>
      <c r="G55" s="33">
        <v>0</v>
      </c>
      <c r="H55" s="33">
        <v>0</v>
      </c>
      <c r="I55" s="40">
        <v>1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40">
        <v>1</v>
      </c>
      <c r="S55" s="40">
        <v>1</v>
      </c>
      <c r="T55" s="33">
        <v>1</v>
      </c>
      <c r="U55" s="33">
        <v>1</v>
      </c>
      <c r="V55" s="39">
        <v>3</v>
      </c>
      <c r="W55" s="43">
        <v>4</v>
      </c>
      <c r="X55" s="33">
        <v>4</v>
      </c>
      <c r="Y55" s="38" t="s">
        <v>38</v>
      </c>
    </row>
    <row r="56" ht="15" customHeight="1" spans="1:25">
      <c r="A56" s="32"/>
      <c r="B56" s="33">
        <v>55</v>
      </c>
      <c r="C56" s="34" t="s">
        <v>25</v>
      </c>
      <c r="D56" s="33">
        <v>0.85</v>
      </c>
      <c r="E56" s="35"/>
      <c r="F56" s="35"/>
      <c r="G56" s="33">
        <v>0</v>
      </c>
      <c r="H56" s="40">
        <v>1</v>
      </c>
      <c r="I56" s="40">
        <v>1</v>
      </c>
      <c r="J56" s="48">
        <v>1</v>
      </c>
      <c r="K56" s="33">
        <v>0</v>
      </c>
      <c r="L56" s="33">
        <v>0</v>
      </c>
      <c r="M56" s="40">
        <v>1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7">
        <v>2</v>
      </c>
      <c r="W56" s="45">
        <v>5</v>
      </c>
      <c r="X56" s="33">
        <v>2</v>
      </c>
      <c r="Y56" s="38" t="s">
        <v>35</v>
      </c>
    </row>
    <row r="57" ht="15" customHeight="1" spans="1:25">
      <c r="A57" s="32"/>
      <c r="B57" s="33">
        <v>56</v>
      </c>
      <c r="C57" s="34" t="s">
        <v>25</v>
      </c>
      <c r="D57" s="33">
        <v>0.85</v>
      </c>
      <c r="E57" s="35"/>
      <c r="F57" s="35"/>
      <c r="G57" s="40">
        <v>1</v>
      </c>
      <c r="H57" s="33">
        <v>0</v>
      </c>
      <c r="I57" s="33">
        <v>0</v>
      </c>
      <c r="J57" s="33">
        <v>0</v>
      </c>
      <c r="K57" s="33">
        <v>0</v>
      </c>
      <c r="L57" s="48">
        <v>1</v>
      </c>
      <c r="M57" s="40">
        <v>1</v>
      </c>
      <c r="N57" s="33">
        <v>0</v>
      </c>
      <c r="O57" s="33">
        <v>0</v>
      </c>
      <c r="P57" s="33">
        <v>0</v>
      </c>
      <c r="Q57" s="33">
        <v>0</v>
      </c>
      <c r="R57" s="40">
        <v>1</v>
      </c>
      <c r="S57" s="40">
        <v>1</v>
      </c>
      <c r="T57" s="33">
        <v>1</v>
      </c>
      <c r="U57" s="33">
        <v>1</v>
      </c>
      <c r="V57" s="43">
        <v>4</v>
      </c>
      <c r="W57" s="43">
        <v>4</v>
      </c>
      <c r="X57" s="33">
        <v>3</v>
      </c>
      <c r="Y57" s="38" t="s">
        <v>36</v>
      </c>
    </row>
    <row r="58" ht="15" customHeight="1" spans="1:25">
      <c r="A58" s="32"/>
      <c r="B58" s="33">
        <v>57</v>
      </c>
      <c r="C58" s="34" t="s">
        <v>25</v>
      </c>
      <c r="D58" s="33">
        <v>0.85</v>
      </c>
      <c r="E58" s="35"/>
      <c r="F58" s="35"/>
      <c r="G58" s="33">
        <v>0</v>
      </c>
      <c r="H58" s="33">
        <v>0</v>
      </c>
      <c r="I58" s="40">
        <v>1</v>
      </c>
      <c r="J58" s="33">
        <v>0</v>
      </c>
      <c r="K58" s="33">
        <v>0</v>
      </c>
      <c r="L58" s="48">
        <v>1</v>
      </c>
      <c r="M58" s="40">
        <v>1</v>
      </c>
      <c r="N58" s="33">
        <v>0</v>
      </c>
      <c r="O58" s="33">
        <v>0</v>
      </c>
      <c r="P58" s="33">
        <v>0</v>
      </c>
      <c r="Q58" s="40">
        <v>1</v>
      </c>
      <c r="R58" s="33">
        <v>0</v>
      </c>
      <c r="S58" s="40">
        <v>1</v>
      </c>
      <c r="T58" s="33">
        <v>1</v>
      </c>
      <c r="U58" s="33">
        <v>1</v>
      </c>
      <c r="V58" s="43">
        <v>4</v>
      </c>
      <c r="W58" s="43">
        <v>4</v>
      </c>
      <c r="X58" s="33">
        <v>2</v>
      </c>
      <c r="Y58" s="38" t="s">
        <v>35</v>
      </c>
    </row>
    <row r="59" ht="15" customHeight="1" spans="1:25">
      <c r="A59" s="32"/>
      <c r="B59" s="33">
        <v>58</v>
      </c>
      <c r="C59" s="47" t="s">
        <v>41</v>
      </c>
      <c r="D59" s="33">
        <v>0.4</v>
      </c>
      <c r="E59" s="35"/>
      <c r="F59" s="35"/>
      <c r="G59" s="40">
        <v>1</v>
      </c>
      <c r="H59" s="33">
        <v>0</v>
      </c>
      <c r="I59" s="40">
        <v>1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1</v>
      </c>
      <c r="U59" s="33">
        <v>1</v>
      </c>
      <c r="V59" s="37">
        <v>2</v>
      </c>
      <c r="W59" s="45">
        <v>5</v>
      </c>
      <c r="X59" s="33">
        <v>6</v>
      </c>
      <c r="Y59" s="38" t="s">
        <v>42</v>
      </c>
    </row>
    <row r="60" ht="15" customHeight="1" spans="1:25">
      <c r="A60" s="32"/>
      <c r="B60" s="33">
        <v>59</v>
      </c>
      <c r="C60" s="34" t="s">
        <v>25</v>
      </c>
      <c r="D60" s="33">
        <v>0.85</v>
      </c>
      <c r="E60" s="35"/>
      <c r="F60" s="35"/>
      <c r="G60" s="33">
        <v>0</v>
      </c>
      <c r="H60" s="33">
        <v>0</v>
      </c>
      <c r="I60" s="40">
        <v>1</v>
      </c>
      <c r="J60" s="48">
        <v>1</v>
      </c>
      <c r="K60" s="33">
        <v>0</v>
      </c>
      <c r="L60" s="33">
        <v>0</v>
      </c>
      <c r="M60" s="40">
        <v>1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40">
        <v>1</v>
      </c>
      <c r="T60" s="33">
        <v>1</v>
      </c>
      <c r="U60" s="33">
        <v>1</v>
      </c>
      <c r="V60" s="39">
        <v>3</v>
      </c>
      <c r="W60" s="43">
        <v>4</v>
      </c>
      <c r="X60" s="33">
        <v>2</v>
      </c>
      <c r="Y60" s="38" t="s">
        <v>35</v>
      </c>
    </row>
    <row r="61" ht="15" customHeight="1" spans="1:25">
      <c r="A61" s="32"/>
      <c r="B61" s="33">
        <v>60</v>
      </c>
      <c r="C61" s="34" t="s">
        <v>25</v>
      </c>
      <c r="D61" s="33">
        <v>0.85</v>
      </c>
      <c r="E61" s="35"/>
      <c r="F61" s="35"/>
      <c r="G61" s="33">
        <v>0</v>
      </c>
      <c r="H61" s="33">
        <v>0</v>
      </c>
      <c r="I61" s="40">
        <v>1</v>
      </c>
      <c r="J61" s="33">
        <v>0</v>
      </c>
      <c r="K61" s="33">
        <v>0</v>
      </c>
      <c r="L61" s="33">
        <v>0</v>
      </c>
      <c r="M61" s="40">
        <v>1</v>
      </c>
      <c r="N61" s="33">
        <v>0</v>
      </c>
      <c r="O61" s="33">
        <v>0</v>
      </c>
      <c r="P61" s="33">
        <v>0</v>
      </c>
      <c r="Q61" s="40">
        <v>1</v>
      </c>
      <c r="R61" s="40">
        <v>1</v>
      </c>
      <c r="S61" s="33">
        <v>0</v>
      </c>
      <c r="T61" s="33">
        <v>0</v>
      </c>
      <c r="U61" s="33">
        <v>0</v>
      </c>
      <c r="V61" s="43">
        <v>4</v>
      </c>
      <c r="W61" s="43">
        <v>4</v>
      </c>
      <c r="X61" s="33">
        <v>3</v>
      </c>
      <c r="Y61" s="38" t="s">
        <v>36</v>
      </c>
    </row>
    <row r="62" ht="17.25" customHeight="1" spans="1:25">
      <c r="A62" s="32" t="s">
        <v>52</v>
      </c>
      <c r="B62" s="33">
        <v>61</v>
      </c>
      <c r="C62" s="34" t="s">
        <v>25</v>
      </c>
      <c r="D62" s="33">
        <v>0.85</v>
      </c>
      <c r="E62" s="35"/>
      <c r="F62" s="35"/>
      <c r="G62" s="40">
        <v>1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40">
        <v>1</v>
      </c>
      <c r="S62" s="40">
        <v>1</v>
      </c>
      <c r="T62" s="33">
        <v>0</v>
      </c>
      <c r="U62" s="33">
        <v>1</v>
      </c>
      <c r="V62" s="39">
        <v>3</v>
      </c>
      <c r="W62" s="43">
        <v>4</v>
      </c>
      <c r="X62" s="33">
        <v>2</v>
      </c>
      <c r="Y62" s="38" t="s">
        <v>35</v>
      </c>
    </row>
    <row r="63" ht="15" customHeight="1" spans="1:25">
      <c r="A63" s="32"/>
      <c r="B63" s="33">
        <v>62</v>
      </c>
      <c r="C63" s="34" t="s">
        <v>25</v>
      </c>
      <c r="D63" s="33">
        <v>0.85</v>
      </c>
      <c r="E63" s="35"/>
      <c r="F63" s="35"/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40">
        <v>1</v>
      </c>
      <c r="R63" s="40">
        <v>1</v>
      </c>
      <c r="S63" s="40">
        <v>1</v>
      </c>
      <c r="T63" s="33">
        <v>1</v>
      </c>
      <c r="U63" s="33">
        <v>1</v>
      </c>
      <c r="V63" s="39">
        <v>3</v>
      </c>
      <c r="W63" s="43">
        <v>4</v>
      </c>
      <c r="X63" s="33">
        <v>2</v>
      </c>
      <c r="Y63" s="38" t="s">
        <v>35</v>
      </c>
    </row>
    <row r="64" ht="15" customHeight="1" spans="1:25">
      <c r="A64" s="32"/>
      <c r="B64" s="33">
        <v>63</v>
      </c>
      <c r="C64" s="34" t="s">
        <v>25</v>
      </c>
      <c r="D64" s="33">
        <v>0.85</v>
      </c>
      <c r="E64" s="35"/>
      <c r="F64" s="35"/>
      <c r="G64" s="33">
        <v>0</v>
      </c>
      <c r="H64" s="40">
        <v>1</v>
      </c>
      <c r="I64" s="33">
        <v>0</v>
      </c>
      <c r="J64" s="48">
        <v>1</v>
      </c>
      <c r="K64" s="48">
        <v>1</v>
      </c>
      <c r="L64" s="33">
        <v>0</v>
      </c>
      <c r="M64" s="40">
        <v>1</v>
      </c>
      <c r="N64" s="33">
        <v>0</v>
      </c>
      <c r="O64" s="33">
        <v>0</v>
      </c>
      <c r="P64" s="33">
        <v>0</v>
      </c>
      <c r="Q64" s="40">
        <v>1</v>
      </c>
      <c r="R64" s="33">
        <v>0</v>
      </c>
      <c r="S64" s="40">
        <v>1</v>
      </c>
      <c r="T64" s="33">
        <v>1</v>
      </c>
      <c r="U64" s="33">
        <v>1</v>
      </c>
      <c r="V64" s="39">
        <v>3</v>
      </c>
      <c r="W64" s="43">
        <v>4</v>
      </c>
      <c r="X64" s="33">
        <v>4</v>
      </c>
      <c r="Y64" s="38" t="s">
        <v>38</v>
      </c>
    </row>
    <row r="65" ht="15" customHeight="1" spans="1:25">
      <c r="A65" s="32"/>
      <c r="B65" s="33">
        <v>64</v>
      </c>
      <c r="C65" s="46" t="s">
        <v>32</v>
      </c>
      <c r="D65" s="33">
        <v>0.6</v>
      </c>
      <c r="E65" s="35"/>
      <c r="F65" s="35"/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48">
        <v>1</v>
      </c>
      <c r="M65" s="40">
        <v>1</v>
      </c>
      <c r="N65" s="33">
        <v>0</v>
      </c>
      <c r="O65" s="33">
        <v>0</v>
      </c>
      <c r="P65" s="33">
        <v>0</v>
      </c>
      <c r="Q65" s="40">
        <v>1</v>
      </c>
      <c r="R65" s="40">
        <v>1</v>
      </c>
      <c r="S65" s="33">
        <v>0</v>
      </c>
      <c r="T65" s="33">
        <v>1</v>
      </c>
      <c r="U65" s="33">
        <v>1</v>
      </c>
      <c r="V65" s="39">
        <v>3</v>
      </c>
      <c r="W65" s="43">
        <v>4</v>
      </c>
      <c r="X65" s="33">
        <v>3</v>
      </c>
      <c r="Y65" s="38" t="s">
        <v>36</v>
      </c>
    </row>
    <row r="66" ht="15" customHeight="1" spans="1:25">
      <c r="A66" s="32"/>
      <c r="B66" s="33">
        <v>65</v>
      </c>
      <c r="C66" s="46" t="s">
        <v>32</v>
      </c>
      <c r="D66" s="33">
        <v>0.6</v>
      </c>
      <c r="E66" s="35"/>
      <c r="F66" s="35"/>
      <c r="G66" s="40">
        <v>1</v>
      </c>
      <c r="H66" s="33">
        <v>0</v>
      </c>
      <c r="I66" s="40">
        <v>1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40">
        <v>1</v>
      </c>
      <c r="R66" s="40">
        <v>1</v>
      </c>
      <c r="S66" s="33">
        <v>0</v>
      </c>
      <c r="T66" s="33">
        <v>0</v>
      </c>
      <c r="U66" s="33">
        <v>0</v>
      </c>
      <c r="V66" s="43">
        <v>4</v>
      </c>
      <c r="W66" s="45">
        <v>5</v>
      </c>
      <c r="X66" s="33">
        <v>2</v>
      </c>
      <c r="Y66" s="38" t="s">
        <v>35</v>
      </c>
    </row>
    <row r="67" ht="15" customHeight="1" spans="1:25">
      <c r="A67" s="32"/>
      <c r="B67" s="33">
        <v>66</v>
      </c>
      <c r="C67" s="34" t="s">
        <v>25</v>
      </c>
      <c r="D67" s="33">
        <v>0.85</v>
      </c>
      <c r="E67" s="35"/>
      <c r="F67" s="35"/>
      <c r="G67" s="40">
        <v>1</v>
      </c>
      <c r="H67" s="33">
        <v>0</v>
      </c>
      <c r="I67" s="33">
        <v>0</v>
      </c>
      <c r="J67" s="48">
        <v>1</v>
      </c>
      <c r="K67" s="48">
        <v>1</v>
      </c>
      <c r="L67" s="33">
        <v>0</v>
      </c>
      <c r="M67" s="40">
        <v>1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40">
        <v>1</v>
      </c>
      <c r="T67" s="33">
        <v>1</v>
      </c>
      <c r="U67" s="33">
        <v>1</v>
      </c>
      <c r="V67" s="39">
        <v>3</v>
      </c>
      <c r="W67" s="43">
        <v>4</v>
      </c>
      <c r="X67" s="33">
        <v>2</v>
      </c>
      <c r="Y67" s="38" t="s">
        <v>35</v>
      </c>
    </row>
    <row r="68" ht="15" customHeight="1" spans="1:25">
      <c r="A68" s="32"/>
      <c r="B68" s="33">
        <v>67</v>
      </c>
      <c r="C68" s="34" t="s">
        <v>25</v>
      </c>
      <c r="D68" s="33">
        <v>0.85</v>
      </c>
      <c r="E68" s="35"/>
      <c r="F68" s="35"/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40">
        <v>1</v>
      </c>
      <c r="R68" s="40">
        <v>1</v>
      </c>
      <c r="S68" s="33">
        <v>0</v>
      </c>
      <c r="T68" s="33">
        <v>0</v>
      </c>
      <c r="U68" s="33">
        <v>0</v>
      </c>
      <c r="V68" s="37">
        <v>2</v>
      </c>
      <c r="W68" s="45">
        <v>5</v>
      </c>
      <c r="X68" s="33">
        <v>3</v>
      </c>
      <c r="Y68" s="38" t="s">
        <v>36</v>
      </c>
    </row>
    <row r="69" ht="15" customHeight="1" spans="1:25">
      <c r="A69" s="32"/>
      <c r="B69" s="33">
        <v>68</v>
      </c>
      <c r="C69" s="46" t="s">
        <v>32</v>
      </c>
      <c r="D69" s="33">
        <v>0.6</v>
      </c>
      <c r="E69" s="35"/>
      <c r="F69" s="35"/>
      <c r="G69" s="33">
        <v>0</v>
      </c>
      <c r="H69" s="33">
        <v>0</v>
      </c>
      <c r="I69" s="40">
        <v>1</v>
      </c>
      <c r="J69" s="33">
        <v>0</v>
      </c>
      <c r="K69" s="48">
        <v>1</v>
      </c>
      <c r="L69" s="48">
        <v>1</v>
      </c>
      <c r="M69" s="40">
        <v>1</v>
      </c>
      <c r="N69" s="33">
        <v>0</v>
      </c>
      <c r="O69" s="33">
        <v>0</v>
      </c>
      <c r="P69" s="33">
        <v>0</v>
      </c>
      <c r="Q69" s="40">
        <v>1</v>
      </c>
      <c r="R69" s="33">
        <v>0</v>
      </c>
      <c r="S69" s="40">
        <v>1</v>
      </c>
      <c r="T69" s="33">
        <v>1</v>
      </c>
      <c r="U69" s="33">
        <v>1</v>
      </c>
      <c r="V69" s="43">
        <v>4</v>
      </c>
      <c r="W69" s="43">
        <v>4</v>
      </c>
      <c r="X69" s="33">
        <v>3</v>
      </c>
      <c r="Y69" s="38" t="s">
        <v>36</v>
      </c>
    </row>
    <row r="70" ht="15" customHeight="1" spans="1:25">
      <c r="A70" s="32"/>
      <c r="B70" s="33">
        <v>69</v>
      </c>
      <c r="C70" s="34" t="s">
        <v>25</v>
      </c>
      <c r="D70" s="33">
        <v>0.85</v>
      </c>
      <c r="E70" s="35"/>
      <c r="F70" s="35"/>
      <c r="G70" s="40">
        <v>1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40">
        <v>1</v>
      </c>
      <c r="R70" s="40">
        <v>1</v>
      </c>
      <c r="S70" s="33">
        <v>0</v>
      </c>
      <c r="T70" s="33">
        <v>0</v>
      </c>
      <c r="U70" s="33">
        <v>0</v>
      </c>
      <c r="V70" s="39">
        <v>3</v>
      </c>
      <c r="W70" s="43">
        <v>4</v>
      </c>
      <c r="X70" s="33">
        <v>6</v>
      </c>
      <c r="Y70" s="38" t="s">
        <v>42</v>
      </c>
    </row>
    <row r="71" ht="15" customHeight="1" spans="1:25">
      <c r="A71" s="32"/>
      <c r="B71" s="33">
        <v>70</v>
      </c>
      <c r="C71" s="47" t="s">
        <v>41</v>
      </c>
      <c r="D71" s="33">
        <v>0.4</v>
      </c>
      <c r="E71" s="35"/>
      <c r="F71" s="35"/>
      <c r="G71" s="40">
        <v>1</v>
      </c>
      <c r="H71" s="33">
        <v>0</v>
      </c>
      <c r="I71" s="40">
        <v>1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40">
        <v>1</v>
      </c>
      <c r="R71" s="40">
        <v>1</v>
      </c>
      <c r="S71" s="40">
        <v>1</v>
      </c>
      <c r="T71" s="33">
        <v>1</v>
      </c>
      <c r="U71" s="33">
        <v>1</v>
      </c>
      <c r="V71" s="45">
        <v>5</v>
      </c>
      <c r="W71" s="43">
        <v>4</v>
      </c>
      <c r="X71" s="33">
        <v>2</v>
      </c>
      <c r="Y71" s="38" t="s">
        <v>35</v>
      </c>
    </row>
    <row r="72" ht="15" customHeight="1" spans="1:25">
      <c r="A72" s="32"/>
      <c r="B72" s="33">
        <v>71</v>
      </c>
      <c r="C72" s="34" t="s">
        <v>25</v>
      </c>
      <c r="D72" s="33">
        <v>0.85</v>
      </c>
      <c r="E72" s="35"/>
      <c r="F72" s="35"/>
      <c r="G72" s="40">
        <v>1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40">
        <v>1</v>
      </c>
      <c r="S72" s="40">
        <v>1</v>
      </c>
      <c r="T72" s="33">
        <v>1</v>
      </c>
      <c r="U72" s="33">
        <v>1</v>
      </c>
      <c r="V72" s="39">
        <v>3</v>
      </c>
      <c r="W72" s="43">
        <v>4</v>
      </c>
      <c r="X72" s="33">
        <v>2</v>
      </c>
      <c r="Y72" s="38" t="s">
        <v>35</v>
      </c>
    </row>
    <row r="73" ht="15" customHeight="1" spans="1:25">
      <c r="A73" s="32"/>
      <c r="B73" s="33">
        <v>72</v>
      </c>
      <c r="C73" s="46" t="s">
        <v>32</v>
      </c>
      <c r="D73" s="33">
        <v>0.6</v>
      </c>
      <c r="E73" s="35"/>
      <c r="F73" s="35"/>
      <c r="G73" s="33">
        <v>0</v>
      </c>
      <c r="H73" s="40">
        <v>1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40">
        <v>1</v>
      </c>
      <c r="R73" s="40">
        <v>1</v>
      </c>
      <c r="S73" s="33">
        <v>0</v>
      </c>
      <c r="T73" s="33">
        <v>0</v>
      </c>
      <c r="U73" s="33">
        <v>0</v>
      </c>
      <c r="V73" s="37">
        <v>2</v>
      </c>
      <c r="W73" s="45">
        <v>5</v>
      </c>
      <c r="X73" s="33">
        <v>4</v>
      </c>
      <c r="Y73" s="38" t="s">
        <v>38</v>
      </c>
    </row>
    <row r="74" ht="17.25" customHeight="1" spans="1:25">
      <c r="A74" s="32" t="s">
        <v>53</v>
      </c>
      <c r="B74" s="33">
        <v>73</v>
      </c>
      <c r="C74" s="34" t="s">
        <v>25</v>
      </c>
      <c r="D74" s="33">
        <v>0.85</v>
      </c>
      <c r="E74" s="34" t="s">
        <v>53</v>
      </c>
      <c r="F74" s="35"/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40">
        <v>1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41">
        <v>1</v>
      </c>
      <c r="W74" s="39">
        <v>3</v>
      </c>
      <c r="X74" s="33">
        <v>2</v>
      </c>
      <c r="Y74" s="38" t="s">
        <v>35</v>
      </c>
    </row>
    <row r="75" ht="15" customHeight="1" spans="1:25">
      <c r="A75" s="32"/>
      <c r="B75" s="33">
        <v>74</v>
      </c>
      <c r="C75" s="34" t="s">
        <v>25</v>
      </c>
      <c r="D75" s="33">
        <v>0.85</v>
      </c>
      <c r="E75" s="35"/>
      <c r="F75" s="35"/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40">
        <v>1</v>
      </c>
      <c r="O75" s="33">
        <v>0</v>
      </c>
      <c r="P75" s="33">
        <v>0</v>
      </c>
      <c r="Q75" s="33">
        <v>0</v>
      </c>
      <c r="R75" s="40">
        <v>1</v>
      </c>
      <c r="S75" s="33">
        <v>0</v>
      </c>
      <c r="T75" s="33">
        <v>0</v>
      </c>
      <c r="U75" s="33">
        <v>0</v>
      </c>
      <c r="V75" s="37">
        <v>2</v>
      </c>
      <c r="W75" s="45">
        <v>5</v>
      </c>
      <c r="X75" s="33">
        <v>2</v>
      </c>
      <c r="Y75" s="38" t="s">
        <v>35</v>
      </c>
    </row>
    <row r="76" ht="15" customHeight="1" spans="1:25">
      <c r="A76" s="32"/>
      <c r="B76" s="33">
        <v>75</v>
      </c>
      <c r="C76" s="34" t="s">
        <v>25</v>
      </c>
      <c r="D76" s="33">
        <v>0.85</v>
      </c>
      <c r="E76" s="35"/>
      <c r="F76" s="35"/>
      <c r="G76" s="33">
        <v>0</v>
      </c>
      <c r="H76" s="33">
        <v>0</v>
      </c>
      <c r="I76" s="33">
        <v>0</v>
      </c>
      <c r="J76" s="48">
        <v>1</v>
      </c>
      <c r="K76" s="48">
        <v>1</v>
      </c>
      <c r="L76" s="33">
        <v>0</v>
      </c>
      <c r="M76" s="40">
        <v>1</v>
      </c>
      <c r="N76" s="40">
        <v>1</v>
      </c>
      <c r="O76" s="33">
        <v>0</v>
      </c>
      <c r="P76" s="33">
        <v>0</v>
      </c>
      <c r="Q76" s="33">
        <v>0</v>
      </c>
      <c r="R76" s="40">
        <v>1</v>
      </c>
      <c r="S76" s="40">
        <v>1</v>
      </c>
      <c r="T76" s="33">
        <v>1</v>
      </c>
      <c r="U76" s="33">
        <v>1</v>
      </c>
      <c r="V76" s="43">
        <v>4</v>
      </c>
      <c r="W76" s="43">
        <v>4</v>
      </c>
      <c r="X76" s="33">
        <v>6</v>
      </c>
      <c r="Y76" s="38" t="s">
        <v>42</v>
      </c>
    </row>
    <row r="77" ht="15" customHeight="1" spans="1:25">
      <c r="A77" s="32"/>
      <c r="B77" s="33">
        <v>76</v>
      </c>
      <c r="C77" s="34" t="s">
        <v>25</v>
      </c>
      <c r="D77" s="33">
        <v>0.85</v>
      </c>
      <c r="E77" s="35"/>
      <c r="F77" s="35"/>
      <c r="G77" s="40">
        <v>1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40">
        <v>1</v>
      </c>
      <c r="O77" s="33">
        <v>0</v>
      </c>
      <c r="P77" s="33">
        <v>0</v>
      </c>
      <c r="Q77" s="40">
        <v>1</v>
      </c>
      <c r="R77" s="40">
        <v>1</v>
      </c>
      <c r="S77" s="40">
        <v>1</v>
      </c>
      <c r="T77" s="33">
        <v>1</v>
      </c>
      <c r="U77" s="33">
        <v>1</v>
      </c>
      <c r="V77" s="45">
        <v>5</v>
      </c>
      <c r="W77" s="43">
        <v>4</v>
      </c>
      <c r="X77" s="33">
        <v>3</v>
      </c>
      <c r="Y77" s="38" t="s">
        <v>36</v>
      </c>
    </row>
    <row r="78" ht="15" customHeight="1" spans="1:25">
      <c r="A78" s="32"/>
      <c r="B78" s="33">
        <v>77</v>
      </c>
      <c r="C78" s="46" t="s">
        <v>32</v>
      </c>
      <c r="D78" s="33">
        <v>0.6</v>
      </c>
      <c r="E78" s="35"/>
      <c r="F78" s="35"/>
      <c r="G78" s="40">
        <v>1</v>
      </c>
      <c r="H78" s="40">
        <v>1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v>0</v>
      </c>
      <c r="O78" s="33">
        <v>0</v>
      </c>
      <c r="P78" s="33">
        <v>0</v>
      </c>
      <c r="Q78" s="33">
        <v>0</v>
      </c>
      <c r="R78" s="40">
        <v>1</v>
      </c>
      <c r="S78" s="33">
        <v>0</v>
      </c>
      <c r="T78" s="33">
        <v>0</v>
      </c>
      <c r="U78" s="33">
        <v>0</v>
      </c>
      <c r="V78" s="37">
        <v>2</v>
      </c>
      <c r="W78" s="45">
        <v>5</v>
      </c>
      <c r="X78" s="33">
        <v>2</v>
      </c>
      <c r="Y78" s="38" t="s">
        <v>35</v>
      </c>
    </row>
    <row r="79" ht="15" customHeight="1" spans="1:25">
      <c r="A79" s="32"/>
      <c r="B79" s="33">
        <v>78</v>
      </c>
      <c r="C79" s="34" t="s">
        <v>25</v>
      </c>
      <c r="D79" s="33">
        <v>0.85</v>
      </c>
      <c r="E79" s="35"/>
      <c r="F79" s="35"/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40">
        <v>1</v>
      </c>
      <c r="O79" s="33">
        <v>0</v>
      </c>
      <c r="P79" s="33">
        <v>0</v>
      </c>
      <c r="Q79" s="40">
        <v>1</v>
      </c>
      <c r="R79" s="33">
        <v>0</v>
      </c>
      <c r="S79" s="40">
        <v>1</v>
      </c>
      <c r="T79" s="33">
        <v>0</v>
      </c>
      <c r="U79" s="33">
        <v>1</v>
      </c>
      <c r="V79" s="39">
        <v>3</v>
      </c>
      <c r="W79" s="43">
        <v>4</v>
      </c>
      <c r="X79" s="33">
        <v>2</v>
      </c>
      <c r="Y79" s="38" t="s">
        <v>35</v>
      </c>
    </row>
    <row r="80" ht="15" customHeight="1" spans="1:25">
      <c r="A80" s="32"/>
      <c r="B80" s="33">
        <v>79</v>
      </c>
      <c r="C80" s="34" t="s">
        <v>25</v>
      </c>
      <c r="D80" s="33">
        <v>0.85</v>
      </c>
      <c r="E80" s="35"/>
      <c r="F80" s="35"/>
      <c r="G80" s="33">
        <v>0</v>
      </c>
      <c r="H80" s="33">
        <v>0</v>
      </c>
      <c r="I80" s="33">
        <v>0</v>
      </c>
      <c r="J80" s="48">
        <v>1</v>
      </c>
      <c r="K80" s="48">
        <v>1</v>
      </c>
      <c r="L80" s="33">
        <v>0</v>
      </c>
      <c r="M80" s="40">
        <v>1</v>
      </c>
      <c r="N80" s="40">
        <v>1</v>
      </c>
      <c r="O80" s="33">
        <v>0</v>
      </c>
      <c r="P80" s="33">
        <v>0</v>
      </c>
      <c r="Q80" s="33">
        <v>0</v>
      </c>
      <c r="R80" s="40">
        <v>1</v>
      </c>
      <c r="S80" s="33">
        <v>0</v>
      </c>
      <c r="T80" s="33">
        <v>0</v>
      </c>
      <c r="U80" s="33">
        <v>0</v>
      </c>
      <c r="V80" s="39">
        <v>3</v>
      </c>
      <c r="W80" s="43">
        <v>4</v>
      </c>
      <c r="X80" s="33">
        <v>3</v>
      </c>
      <c r="Y80" s="38" t="s">
        <v>36</v>
      </c>
    </row>
    <row r="81" ht="15" customHeight="1" spans="1:25">
      <c r="A81" s="32"/>
      <c r="B81" s="33">
        <v>80</v>
      </c>
      <c r="C81" s="46" t="s">
        <v>32</v>
      </c>
      <c r="D81" s="33">
        <v>0.6</v>
      </c>
      <c r="E81" s="35"/>
      <c r="F81" s="35"/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40">
        <v>1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41">
        <v>1</v>
      </c>
      <c r="W81" s="45">
        <v>5</v>
      </c>
      <c r="X81" s="33">
        <v>3</v>
      </c>
      <c r="Y81" s="38" t="s">
        <v>36</v>
      </c>
    </row>
    <row r="82" ht="15" customHeight="1" spans="1:25">
      <c r="A82" s="32"/>
      <c r="B82" s="33">
        <v>81</v>
      </c>
      <c r="C82" s="34" t="s">
        <v>25</v>
      </c>
      <c r="D82" s="33">
        <v>0.85</v>
      </c>
      <c r="E82" s="35"/>
      <c r="F82" s="35"/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40">
        <v>1</v>
      </c>
      <c r="O82" s="33">
        <v>0</v>
      </c>
      <c r="P82" s="33">
        <v>0</v>
      </c>
      <c r="Q82" s="40">
        <v>1</v>
      </c>
      <c r="R82" s="40">
        <v>1</v>
      </c>
      <c r="S82" s="33">
        <v>0</v>
      </c>
      <c r="T82" s="33">
        <v>0</v>
      </c>
      <c r="U82" s="33">
        <v>0</v>
      </c>
      <c r="V82" s="39">
        <v>3</v>
      </c>
      <c r="W82" s="43">
        <v>4</v>
      </c>
      <c r="X82" s="33">
        <v>2</v>
      </c>
      <c r="Y82" s="38" t="s">
        <v>35</v>
      </c>
    </row>
    <row r="83" ht="15" customHeight="1" spans="1:25">
      <c r="A83" s="32"/>
      <c r="B83" s="33">
        <v>82</v>
      </c>
      <c r="C83" s="34" t="s">
        <v>25</v>
      </c>
      <c r="D83" s="33">
        <v>0.85</v>
      </c>
      <c r="E83" s="35"/>
      <c r="F83" s="35"/>
      <c r="G83" s="40">
        <v>1</v>
      </c>
      <c r="H83" s="33">
        <v>0</v>
      </c>
      <c r="I83" s="40">
        <v>1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40">
        <v>1</v>
      </c>
      <c r="S83" s="33">
        <v>0</v>
      </c>
      <c r="T83" s="33">
        <v>0</v>
      </c>
      <c r="U83" s="33">
        <v>0</v>
      </c>
      <c r="V83" s="39">
        <v>3</v>
      </c>
      <c r="W83" s="43">
        <v>4</v>
      </c>
      <c r="X83" s="33">
        <v>2</v>
      </c>
      <c r="Y83" s="38" t="s">
        <v>35</v>
      </c>
    </row>
    <row r="84" ht="15" customHeight="1" spans="1:25">
      <c r="A84" s="32"/>
      <c r="B84" s="33">
        <v>83</v>
      </c>
      <c r="C84" s="46" t="s">
        <v>32</v>
      </c>
      <c r="D84" s="33">
        <v>0.6</v>
      </c>
      <c r="E84" s="35"/>
      <c r="F84" s="35"/>
      <c r="G84" s="40">
        <v>1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40">
        <v>1</v>
      </c>
      <c r="O84" s="33">
        <v>0</v>
      </c>
      <c r="P84" s="33">
        <v>0</v>
      </c>
      <c r="Q84" s="33">
        <v>0</v>
      </c>
      <c r="R84" s="33">
        <v>0</v>
      </c>
      <c r="S84" s="40">
        <v>1</v>
      </c>
      <c r="T84" s="33">
        <v>1</v>
      </c>
      <c r="U84" s="33">
        <v>1</v>
      </c>
      <c r="V84" s="39">
        <v>3</v>
      </c>
      <c r="W84" s="43">
        <v>4</v>
      </c>
      <c r="X84" s="33">
        <v>3</v>
      </c>
      <c r="Y84" s="38" t="s">
        <v>36</v>
      </c>
    </row>
    <row r="85" ht="15" customHeight="1" spans="1:25">
      <c r="A85" s="32"/>
      <c r="B85" s="33">
        <v>84</v>
      </c>
      <c r="C85" s="34" t="s">
        <v>25</v>
      </c>
      <c r="D85" s="33">
        <v>0.85</v>
      </c>
      <c r="E85" s="35"/>
      <c r="F85" s="35"/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40">
        <v>1</v>
      </c>
      <c r="O85" s="33">
        <v>0</v>
      </c>
      <c r="P85" s="33">
        <v>0</v>
      </c>
      <c r="Q85" s="40">
        <v>1</v>
      </c>
      <c r="R85" s="40">
        <v>1</v>
      </c>
      <c r="S85" s="33">
        <v>0</v>
      </c>
      <c r="T85" s="33">
        <v>0</v>
      </c>
      <c r="U85" s="33">
        <v>0</v>
      </c>
      <c r="V85" s="39">
        <v>3</v>
      </c>
      <c r="W85" s="43">
        <v>4</v>
      </c>
      <c r="X85" s="33">
        <v>6</v>
      </c>
      <c r="Y85" s="38" t="s">
        <v>42</v>
      </c>
    </row>
    <row r="86" ht="15" customHeight="1" spans="1:25">
      <c r="A86" s="32"/>
      <c r="B86" s="33">
        <v>85</v>
      </c>
      <c r="C86" s="34" t="s">
        <v>25</v>
      </c>
      <c r="D86" s="33">
        <v>0.85</v>
      </c>
      <c r="E86" s="35"/>
      <c r="F86" s="35"/>
      <c r="G86" s="33">
        <v>0</v>
      </c>
      <c r="H86" s="40">
        <v>1</v>
      </c>
      <c r="I86" s="33">
        <v>0</v>
      </c>
      <c r="J86" s="33">
        <v>0</v>
      </c>
      <c r="K86" s="33">
        <v>0</v>
      </c>
      <c r="L86" s="48">
        <v>1</v>
      </c>
      <c r="M86" s="40">
        <v>1</v>
      </c>
      <c r="N86" s="33">
        <v>0</v>
      </c>
      <c r="O86" s="33">
        <v>0</v>
      </c>
      <c r="P86" s="33">
        <v>0</v>
      </c>
      <c r="Q86" s="33">
        <v>0</v>
      </c>
      <c r="R86" s="40">
        <v>1</v>
      </c>
      <c r="S86" s="40">
        <v>1</v>
      </c>
      <c r="T86" s="33">
        <v>1</v>
      </c>
      <c r="U86" s="33">
        <v>1</v>
      </c>
      <c r="V86" s="39">
        <v>3</v>
      </c>
      <c r="W86" s="43">
        <v>4</v>
      </c>
      <c r="X86" s="33">
        <v>3</v>
      </c>
      <c r="Y86" s="38" t="s">
        <v>36</v>
      </c>
    </row>
    <row r="87" ht="15" customHeight="1" spans="1:25">
      <c r="A87" s="32"/>
      <c r="B87" s="33">
        <v>86</v>
      </c>
      <c r="C87" s="34" t="s">
        <v>25</v>
      </c>
      <c r="D87" s="33">
        <v>0.85</v>
      </c>
      <c r="E87" s="35"/>
      <c r="F87" s="35"/>
      <c r="G87" s="40">
        <v>1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40">
        <v>1</v>
      </c>
      <c r="O87" s="33">
        <v>0</v>
      </c>
      <c r="P87" s="33">
        <v>0</v>
      </c>
      <c r="Q87" s="40">
        <v>1</v>
      </c>
      <c r="R87" s="33">
        <v>0</v>
      </c>
      <c r="S87" s="40">
        <v>1</v>
      </c>
      <c r="T87" s="33">
        <v>1</v>
      </c>
      <c r="U87" s="33">
        <v>1</v>
      </c>
      <c r="V87" s="43">
        <v>4</v>
      </c>
      <c r="W87" s="43">
        <v>4</v>
      </c>
      <c r="X87" s="33">
        <v>4</v>
      </c>
      <c r="Y87" s="38" t="s">
        <v>38</v>
      </c>
    </row>
    <row r="88" ht="15" customHeight="1" spans="1:25">
      <c r="A88" s="32"/>
      <c r="B88" s="33">
        <v>87</v>
      </c>
      <c r="C88" s="34" t="s">
        <v>25</v>
      </c>
      <c r="D88" s="33">
        <v>0.85</v>
      </c>
      <c r="E88" s="35"/>
      <c r="F88" s="35"/>
      <c r="G88" s="33">
        <v>0</v>
      </c>
      <c r="H88" s="33">
        <v>0</v>
      </c>
      <c r="I88" s="33">
        <v>0</v>
      </c>
      <c r="J88" s="48">
        <v>1</v>
      </c>
      <c r="K88" s="48">
        <v>1</v>
      </c>
      <c r="L88" s="33">
        <v>0</v>
      </c>
      <c r="M88" s="40">
        <v>1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41">
        <v>1</v>
      </c>
      <c r="W88" s="45">
        <v>5</v>
      </c>
      <c r="X88" s="33">
        <v>2</v>
      </c>
      <c r="Y88" s="38" t="s">
        <v>35</v>
      </c>
    </row>
    <row r="89" ht="15" customHeight="1" spans="1:25">
      <c r="A89" s="32"/>
      <c r="B89" s="33">
        <v>88</v>
      </c>
      <c r="C89" s="47" t="s">
        <v>41</v>
      </c>
      <c r="D89" s="33">
        <v>0.4</v>
      </c>
      <c r="E89" s="35"/>
      <c r="F89" s="35"/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40">
        <v>1</v>
      </c>
      <c r="O89" s="33">
        <v>0</v>
      </c>
      <c r="P89" s="33">
        <v>0</v>
      </c>
      <c r="Q89" s="40">
        <v>1</v>
      </c>
      <c r="R89" s="40">
        <v>1</v>
      </c>
      <c r="S89" s="40">
        <v>1</v>
      </c>
      <c r="T89" s="33">
        <v>1</v>
      </c>
      <c r="U89" s="33">
        <v>1</v>
      </c>
      <c r="V89" s="43">
        <v>4</v>
      </c>
      <c r="W89" s="43">
        <v>4</v>
      </c>
      <c r="X89" s="33">
        <v>2</v>
      </c>
      <c r="Y89" s="38" t="s">
        <v>35</v>
      </c>
    </row>
    <row r="90" ht="15" customHeight="1" spans="1:25">
      <c r="A90" s="32"/>
      <c r="B90" s="33">
        <v>89</v>
      </c>
      <c r="C90" s="34" t="s">
        <v>25</v>
      </c>
      <c r="D90" s="33">
        <v>0.85</v>
      </c>
      <c r="E90" s="35"/>
      <c r="F90" s="35"/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40">
        <v>1</v>
      </c>
      <c r="O90" s="33">
        <v>0</v>
      </c>
      <c r="P90" s="33">
        <v>0</v>
      </c>
      <c r="Q90" s="33">
        <v>0</v>
      </c>
      <c r="R90" s="40">
        <v>1</v>
      </c>
      <c r="S90" s="40">
        <v>1</v>
      </c>
      <c r="T90" s="33">
        <v>1</v>
      </c>
      <c r="U90" s="33">
        <v>1</v>
      </c>
      <c r="V90" s="39">
        <v>3</v>
      </c>
      <c r="W90" s="39">
        <v>3</v>
      </c>
      <c r="X90" s="33">
        <v>3</v>
      </c>
      <c r="Y90" s="38" t="s">
        <v>36</v>
      </c>
    </row>
    <row r="91" ht="15" customHeight="1" spans="1:25">
      <c r="A91" s="32"/>
      <c r="B91" s="33">
        <v>90</v>
      </c>
      <c r="C91" s="34" t="s">
        <v>25</v>
      </c>
      <c r="D91" s="33">
        <v>0.85</v>
      </c>
      <c r="E91" s="35"/>
      <c r="F91" s="35"/>
      <c r="G91" s="40">
        <v>1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40">
        <v>1</v>
      </c>
      <c r="O91" s="33">
        <v>0</v>
      </c>
      <c r="P91" s="33">
        <v>0</v>
      </c>
      <c r="Q91" s="40">
        <v>1</v>
      </c>
      <c r="R91" s="33">
        <v>0</v>
      </c>
      <c r="S91" s="40">
        <v>1</v>
      </c>
      <c r="T91" s="33">
        <v>0</v>
      </c>
      <c r="U91" s="33">
        <v>0</v>
      </c>
      <c r="V91" s="43">
        <v>4</v>
      </c>
      <c r="W91" s="43">
        <v>4</v>
      </c>
      <c r="X91" s="33">
        <v>3</v>
      </c>
      <c r="Y91" s="38" t="s">
        <v>36</v>
      </c>
    </row>
    <row r="92" ht="17.25" customHeight="1" spans="1:25">
      <c r="A92" s="32" t="s">
        <v>54</v>
      </c>
      <c r="B92" s="33">
        <v>91</v>
      </c>
      <c r="C92" s="34" t="s">
        <v>25</v>
      </c>
      <c r="D92" s="33">
        <v>0.85</v>
      </c>
      <c r="E92" s="34" t="s">
        <v>54</v>
      </c>
      <c r="F92" s="35"/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40">
        <v>1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41">
        <v>1</v>
      </c>
      <c r="W92" s="43">
        <v>4</v>
      </c>
      <c r="X92" s="33">
        <v>6</v>
      </c>
      <c r="Y92" s="38" t="s">
        <v>42</v>
      </c>
    </row>
    <row r="93" ht="15" customHeight="1" spans="1:25">
      <c r="A93" s="32"/>
      <c r="B93" s="33">
        <v>92</v>
      </c>
      <c r="C93" s="34" t="s">
        <v>25</v>
      </c>
      <c r="D93" s="33">
        <v>0.85</v>
      </c>
      <c r="E93" s="35"/>
      <c r="F93" s="35"/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40">
        <v>1</v>
      </c>
      <c r="P93" s="33">
        <v>0</v>
      </c>
      <c r="Q93" s="33">
        <v>0</v>
      </c>
      <c r="R93" s="40">
        <v>1</v>
      </c>
      <c r="S93" s="33">
        <v>0</v>
      </c>
      <c r="T93" s="33">
        <v>0</v>
      </c>
      <c r="U93" s="33">
        <v>0</v>
      </c>
      <c r="V93" s="37">
        <v>2</v>
      </c>
      <c r="W93" s="43">
        <v>4</v>
      </c>
      <c r="X93" s="33">
        <v>2</v>
      </c>
      <c r="Y93" s="38" t="s">
        <v>35</v>
      </c>
    </row>
    <row r="94" ht="15" customHeight="1" spans="1:25">
      <c r="A94" s="32"/>
      <c r="B94" s="33">
        <v>93</v>
      </c>
      <c r="C94" s="34" t="s">
        <v>25</v>
      </c>
      <c r="D94" s="33">
        <v>0.85</v>
      </c>
      <c r="E94" s="35"/>
      <c r="F94" s="35"/>
      <c r="G94" s="40">
        <v>1</v>
      </c>
      <c r="H94" s="40">
        <v>1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40">
        <v>1</v>
      </c>
      <c r="P94" s="33">
        <v>0</v>
      </c>
      <c r="Q94" s="33">
        <v>0</v>
      </c>
      <c r="R94" s="40">
        <v>1</v>
      </c>
      <c r="S94" s="40">
        <v>1</v>
      </c>
      <c r="T94" s="33">
        <v>1</v>
      </c>
      <c r="U94" s="33">
        <v>1</v>
      </c>
      <c r="V94" s="43">
        <v>4</v>
      </c>
      <c r="W94" s="43">
        <v>4</v>
      </c>
      <c r="X94" s="33">
        <v>2</v>
      </c>
      <c r="Y94" s="38" t="s">
        <v>35</v>
      </c>
    </row>
    <row r="95" ht="15" customHeight="1" spans="1:25">
      <c r="A95" s="32"/>
      <c r="B95" s="33">
        <v>94</v>
      </c>
      <c r="C95" s="46" t="s">
        <v>32</v>
      </c>
      <c r="D95" s="33">
        <v>0.6</v>
      </c>
      <c r="E95" s="35"/>
      <c r="F95" s="35"/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40">
        <v>1</v>
      </c>
      <c r="P95" s="33">
        <v>0</v>
      </c>
      <c r="Q95" s="33">
        <v>0</v>
      </c>
      <c r="R95" s="40">
        <v>1</v>
      </c>
      <c r="S95" s="40">
        <v>1</v>
      </c>
      <c r="T95" s="33">
        <v>1</v>
      </c>
      <c r="U95" s="33">
        <v>1</v>
      </c>
      <c r="V95" s="39">
        <v>3</v>
      </c>
      <c r="W95" s="43">
        <v>4</v>
      </c>
      <c r="X95" s="33">
        <v>3</v>
      </c>
      <c r="Y95" s="38" t="s">
        <v>36</v>
      </c>
    </row>
    <row r="96" ht="15" customHeight="1" spans="1:25">
      <c r="A96" s="32"/>
      <c r="B96" s="33">
        <v>95</v>
      </c>
      <c r="C96" s="34" t="s">
        <v>25</v>
      </c>
      <c r="D96" s="33">
        <v>0.85</v>
      </c>
      <c r="E96" s="35"/>
      <c r="F96" s="35"/>
      <c r="G96" s="33">
        <v>0</v>
      </c>
      <c r="H96" s="33">
        <v>0</v>
      </c>
      <c r="I96" s="40">
        <v>1</v>
      </c>
      <c r="J96" s="33">
        <v>0</v>
      </c>
      <c r="K96" s="48">
        <v>1</v>
      </c>
      <c r="L96" s="33">
        <v>0</v>
      </c>
      <c r="M96" s="40">
        <v>1</v>
      </c>
      <c r="N96" s="33">
        <v>0</v>
      </c>
      <c r="O96" s="40">
        <v>1</v>
      </c>
      <c r="P96" s="33">
        <v>0</v>
      </c>
      <c r="Q96" s="40">
        <v>1</v>
      </c>
      <c r="R96" s="33">
        <v>0</v>
      </c>
      <c r="S96" s="33">
        <v>0</v>
      </c>
      <c r="T96" s="33">
        <v>0</v>
      </c>
      <c r="U96" s="33">
        <v>0</v>
      </c>
      <c r="V96" s="43">
        <v>4</v>
      </c>
      <c r="W96" s="43">
        <v>4</v>
      </c>
      <c r="X96" s="33">
        <v>4</v>
      </c>
      <c r="Y96" s="38" t="s">
        <v>38</v>
      </c>
    </row>
    <row r="97" ht="15" customHeight="1" spans="1:25">
      <c r="A97" s="32"/>
      <c r="B97" s="33">
        <v>96</v>
      </c>
      <c r="C97" s="46" t="s">
        <v>32</v>
      </c>
      <c r="D97" s="33">
        <v>0.6</v>
      </c>
      <c r="E97" s="35"/>
      <c r="F97" s="35"/>
      <c r="G97" s="40">
        <v>1</v>
      </c>
      <c r="H97" s="33">
        <v>0</v>
      </c>
      <c r="I97" s="40">
        <v>1</v>
      </c>
      <c r="J97" s="33">
        <v>0</v>
      </c>
      <c r="K97" s="33">
        <v>0</v>
      </c>
      <c r="L97" s="33">
        <v>0</v>
      </c>
      <c r="M97" s="33">
        <v>0</v>
      </c>
      <c r="N97" s="33">
        <v>0</v>
      </c>
      <c r="O97" s="40">
        <v>1</v>
      </c>
      <c r="P97" s="33">
        <v>0</v>
      </c>
      <c r="Q97" s="33">
        <v>0</v>
      </c>
      <c r="R97" s="40">
        <v>1</v>
      </c>
      <c r="S97" s="33">
        <v>0</v>
      </c>
      <c r="T97" s="33">
        <v>0</v>
      </c>
      <c r="U97" s="33">
        <v>0</v>
      </c>
      <c r="V97" s="43">
        <v>4</v>
      </c>
      <c r="W97" s="43">
        <v>4</v>
      </c>
      <c r="X97" s="33">
        <v>2</v>
      </c>
      <c r="Y97" s="38" t="s">
        <v>35</v>
      </c>
    </row>
    <row r="98" ht="15" customHeight="1" spans="1:25">
      <c r="A98" s="32"/>
      <c r="B98" s="33">
        <v>97</v>
      </c>
      <c r="C98" s="34" t="s">
        <v>25</v>
      </c>
      <c r="D98" s="33">
        <v>0.85</v>
      </c>
      <c r="E98" s="35"/>
      <c r="F98" s="35"/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40">
        <v>1</v>
      </c>
      <c r="R98" s="33">
        <v>0</v>
      </c>
      <c r="S98" s="40">
        <v>1</v>
      </c>
      <c r="T98" s="33">
        <v>0</v>
      </c>
      <c r="U98" s="33">
        <v>1</v>
      </c>
      <c r="V98" s="37">
        <v>2</v>
      </c>
      <c r="W98" s="43">
        <v>4</v>
      </c>
      <c r="X98" s="33">
        <v>2</v>
      </c>
      <c r="Y98" s="38" t="s">
        <v>35</v>
      </c>
    </row>
    <row r="99" ht="15" customHeight="1" spans="1:25">
      <c r="A99" s="32"/>
      <c r="B99" s="33">
        <v>98</v>
      </c>
      <c r="C99" s="47" t="s">
        <v>41</v>
      </c>
      <c r="D99" s="33">
        <v>0.4</v>
      </c>
      <c r="E99" s="35"/>
      <c r="F99" s="35"/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40">
        <v>1</v>
      </c>
      <c r="O99" s="40">
        <v>1</v>
      </c>
      <c r="P99" s="33">
        <v>0</v>
      </c>
      <c r="Q99" s="33">
        <v>0</v>
      </c>
      <c r="R99" s="33">
        <v>0</v>
      </c>
      <c r="S99" s="33">
        <v>0</v>
      </c>
      <c r="T99" s="33">
        <v>1</v>
      </c>
      <c r="U99" s="33">
        <v>1</v>
      </c>
      <c r="V99" s="37">
        <v>2</v>
      </c>
      <c r="W99" s="45">
        <v>5</v>
      </c>
      <c r="X99" s="33">
        <v>6</v>
      </c>
      <c r="Y99" s="38" t="s">
        <v>42</v>
      </c>
    </row>
    <row r="100" ht="15" customHeight="1" spans="1:25">
      <c r="A100" s="32"/>
      <c r="B100" s="33">
        <v>99</v>
      </c>
      <c r="C100" s="34" t="s">
        <v>25</v>
      </c>
      <c r="D100" s="33">
        <v>0.85</v>
      </c>
      <c r="E100" s="35"/>
      <c r="F100" s="35"/>
      <c r="G100" s="40">
        <v>1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40">
        <v>1</v>
      </c>
      <c r="R100" s="40">
        <v>1</v>
      </c>
      <c r="S100" s="33">
        <v>0</v>
      </c>
      <c r="T100" s="33">
        <v>0</v>
      </c>
      <c r="U100" s="33">
        <v>0</v>
      </c>
      <c r="V100" s="39">
        <v>3</v>
      </c>
      <c r="W100" s="43">
        <v>4</v>
      </c>
      <c r="X100" s="33">
        <v>2</v>
      </c>
      <c r="Y100" s="38" t="s">
        <v>35</v>
      </c>
    </row>
    <row r="101" ht="15" customHeight="1" spans="1:25">
      <c r="A101" s="32"/>
      <c r="B101" s="33">
        <v>100</v>
      </c>
      <c r="C101" s="34" t="s">
        <v>25</v>
      </c>
      <c r="D101" s="33">
        <v>0.85</v>
      </c>
      <c r="E101" s="35"/>
      <c r="F101" s="35"/>
      <c r="G101" s="33">
        <v>0</v>
      </c>
      <c r="H101" s="40">
        <v>1</v>
      </c>
      <c r="I101" s="33">
        <v>0</v>
      </c>
      <c r="J101" s="48">
        <v>1</v>
      </c>
      <c r="K101" s="33">
        <v>0</v>
      </c>
      <c r="L101" s="33">
        <v>0</v>
      </c>
      <c r="M101" s="40">
        <v>1</v>
      </c>
      <c r="N101" s="33">
        <v>0</v>
      </c>
      <c r="O101" s="40">
        <v>1</v>
      </c>
      <c r="P101" s="33">
        <v>0</v>
      </c>
      <c r="Q101" s="33">
        <v>0</v>
      </c>
      <c r="R101" s="33">
        <v>0</v>
      </c>
      <c r="S101" s="40">
        <v>1</v>
      </c>
      <c r="T101" s="33">
        <v>1</v>
      </c>
      <c r="U101" s="33">
        <v>1</v>
      </c>
      <c r="V101" s="39">
        <v>3</v>
      </c>
      <c r="W101" s="43">
        <v>4</v>
      </c>
      <c r="X101" s="33">
        <v>3</v>
      </c>
      <c r="Y101" s="38" t="s">
        <v>36</v>
      </c>
    </row>
    <row r="102" ht="17.25" customHeight="1" spans="1:25">
      <c r="A102" s="32" t="s">
        <v>55</v>
      </c>
      <c r="B102" s="33">
        <v>101</v>
      </c>
      <c r="C102" s="34" t="s">
        <v>25</v>
      </c>
      <c r="D102" s="33">
        <v>0.85</v>
      </c>
      <c r="E102" s="35"/>
      <c r="F102" s="35"/>
      <c r="G102" s="33">
        <v>0</v>
      </c>
      <c r="H102" s="33">
        <v>0</v>
      </c>
      <c r="I102" s="40">
        <v>1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40">
        <v>1</v>
      </c>
      <c r="P102" s="33">
        <v>0</v>
      </c>
      <c r="Q102" s="33">
        <v>0</v>
      </c>
      <c r="R102" s="40">
        <v>1</v>
      </c>
      <c r="S102" s="40">
        <v>1</v>
      </c>
      <c r="T102" s="33">
        <v>1</v>
      </c>
      <c r="U102" s="33">
        <v>1</v>
      </c>
      <c r="V102" s="43">
        <v>4</v>
      </c>
      <c r="W102" s="43">
        <v>4</v>
      </c>
      <c r="X102" s="33">
        <v>2</v>
      </c>
      <c r="Y102" s="38" t="s">
        <v>35</v>
      </c>
    </row>
    <row r="103" ht="15" customHeight="1" spans="1:25">
      <c r="A103" s="32"/>
      <c r="B103" s="33">
        <v>102</v>
      </c>
      <c r="C103" s="34" t="s">
        <v>25</v>
      </c>
      <c r="D103" s="33">
        <v>0.85</v>
      </c>
      <c r="E103" s="35"/>
      <c r="F103" s="35"/>
      <c r="G103" s="40">
        <v>1</v>
      </c>
      <c r="H103" s="33">
        <v>0</v>
      </c>
      <c r="I103" s="33">
        <v>0</v>
      </c>
      <c r="J103" s="33">
        <v>0</v>
      </c>
      <c r="K103" s="33">
        <v>0</v>
      </c>
      <c r="L103" s="48">
        <v>1</v>
      </c>
      <c r="M103" s="40">
        <v>1</v>
      </c>
      <c r="N103" s="33">
        <v>0</v>
      </c>
      <c r="O103" s="33">
        <v>0</v>
      </c>
      <c r="P103" s="33">
        <v>0</v>
      </c>
      <c r="Q103" s="40">
        <v>1</v>
      </c>
      <c r="R103" s="33">
        <v>0</v>
      </c>
      <c r="S103" s="40">
        <v>1</v>
      </c>
      <c r="T103" s="33">
        <v>1</v>
      </c>
      <c r="U103" s="33">
        <v>1</v>
      </c>
      <c r="V103" s="43">
        <v>4</v>
      </c>
      <c r="W103" s="43">
        <v>4</v>
      </c>
      <c r="X103" s="33">
        <v>2</v>
      </c>
      <c r="Y103" s="38" t="s">
        <v>35</v>
      </c>
    </row>
    <row r="104" s="25" customFormat="1" ht="15" customHeight="1" spans="1:25">
      <c r="A104" s="32"/>
      <c r="B104" s="33">
        <v>103</v>
      </c>
      <c r="C104" s="46" t="s">
        <v>32</v>
      </c>
      <c r="D104" s="33">
        <v>0.6</v>
      </c>
      <c r="E104" s="35"/>
      <c r="F104" s="35"/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40">
        <v>1</v>
      </c>
      <c r="P104" s="33">
        <v>0</v>
      </c>
      <c r="Q104" s="33">
        <v>0</v>
      </c>
      <c r="R104" s="40">
        <v>1</v>
      </c>
      <c r="S104" s="40">
        <v>1</v>
      </c>
      <c r="T104" s="33">
        <v>1</v>
      </c>
      <c r="U104" s="33">
        <v>1</v>
      </c>
      <c r="V104" s="39">
        <v>3</v>
      </c>
      <c r="W104" s="43">
        <v>4</v>
      </c>
      <c r="X104" s="33">
        <v>4</v>
      </c>
      <c r="Y104" s="38" t="s">
        <v>38</v>
      </c>
    </row>
    <row r="105" ht="15" customHeight="1" spans="1:25">
      <c r="A105" s="32"/>
      <c r="B105" s="33">
        <v>104</v>
      </c>
      <c r="C105" s="34" t="s">
        <v>25</v>
      </c>
      <c r="D105" s="33">
        <v>0.85</v>
      </c>
      <c r="E105" s="35"/>
      <c r="F105" s="35"/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40">
        <v>1</v>
      </c>
      <c r="O105" s="33">
        <v>0</v>
      </c>
      <c r="P105" s="33">
        <v>0</v>
      </c>
      <c r="Q105" s="40">
        <v>1</v>
      </c>
      <c r="R105" s="40">
        <v>1</v>
      </c>
      <c r="S105" s="33">
        <v>0</v>
      </c>
      <c r="T105" s="33">
        <v>0</v>
      </c>
      <c r="U105" s="33">
        <v>0</v>
      </c>
      <c r="V105" s="39">
        <v>3</v>
      </c>
      <c r="W105" s="43">
        <v>4</v>
      </c>
      <c r="X105" s="33">
        <v>2</v>
      </c>
      <c r="Y105" s="38" t="s">
        <v>35</v>
      </c>
    </row>
    <row r="106" ht="15" customHeight="1" spans="1:25">
      <c r="A106" s="32"/>
      <c r="B106" s="33">
        <v>105</v>
      </c>
      <c r="C106" s="34" t="s">
        <v>25</v>
      </c>
      <c r="D106" s="33">
        <v>0.85</v>
      </c>
      <c r="E106" s="35"/>
      <c r="F106" s="35"/>
      <c r="G106" s="33">
        <v>0</v>
      </c>
      <c r="H106" s="33">
        <v>0</v>
      </c>
      <c r="I106" s="33">
        <v>0</v>
      </c>
      <c r="J106" s="33">
        <v>0</v>
      </c>
      <c r="K106" s="48">
        <v>1</v>
      </c>
      <c r="L106" s="33">
        <v>0</v>
      </c>
      <c r="M106" s="40">
        <v>1</v>
      </c>
      <c r="N106" s="33">
        <v>0</v>
      </c>
      <c r="O106" s="40">
        <v>1</v>
      </c>
      <c r="P106" s="33">
        <v>0</v>
      </c>
      <c r="Q106" s="33">
        <v>0</v>
      </c>
      <c r="R106" s="40">
        <v>1</v>
      </c>
      <c r="S106" s="40">
        <v>1</v>
      </c>
      <c r="T106" s="33">
        <v>1</v>
      </c>
      <c r="U106" s="33">
        <v>1</v>
      </c>
      <c r="V106" s="43">
        <v>4</v>
      </c>
      <c r="W106" s="43">
        <v>4</v>
      </c>
      <c r="X106" s="33">
        <v>6</v>
      </c>
      <c r="Y106" s="38" t="s">
        <v>42</v>
      </c>
    </row>
    <row r="107" ht="15" customHeight="1" spans="1:25">
      <c r="A107" s="32"/>
      <c r="B107" s="33">
        <v>106</v>
      </c>
      <c r="C107" s="34" t="s">
        <v>25</v>
      </c>
      <c r="D107" s="33">
        <v>0.85</v>
      </c>
      <c r="E107" s="35"/>
      <c r="F107" s="35"/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40">
        <v>1</v>
      </c>
      <c r="S107" s="40">
        <v>1</v>
      </c>
      <c r="T107" s="33">
        <v>0</v>
      </c>
      <c r="U107" s="33">
        <v>1</v>
      </c>
      <c r="V107" s="37">
        <v>2</v>
      </c>
      <c r="W107" s="43">
        <v>4</v>
      </c>
      <c r="X107" s="33">
        <v>2</v>
      </c>
      <c r="Y107" s="38" t="s">
        <v>35</v>
      </c>
    </row>
    <row r="108" ht="15" customHeight="1" spans="1:25">
      <c r="A108" s="32"/>
      <c r="B108" s="33">
        <v>107</v>
      </c>
      <c r="C108" s="34" t="s">
        <v>25</v>
      </c>
      <c r="D108" s="33">
        <v>0.85</v>
      </c>
      <c r="E108" s="35"/>
      <c r="F108" s="35"/>
      <c r="G108" s="40">
        <v>1</v>
      </c>
      <c r="H108" s="33">
        <v>0</v>
      </c>
      <c r="I108" s="40">
        <v>1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40">
        <v>1</v>
      </c>
      <c r="R108" s="40">
        <v>1</v>
      </c>
      <c r="S108" s="33">
        <v>0</v>
      </c>
      <c r="T108" s="33">
        <v>0</v>
      </c>
      <c r="U108" s="33">
        <v>0</v>
      </c>
      <c r="V108" s="43">
        <v>4</v>
      </c>
      <c r="W108" s="43">
        <v>4</v>
      </c>
      <c r="X108" s="33">
        <v>2</v>
      </c>
      <c r="Y108" s="38" t="s">
        <v>35</v>
      </c>
    </row>
    <row r="109" s="25" customFormat="1" ht="15" customHeight="1" spans="1:25">
      <c r="A109" s="32"/>
      <c r="B109" s="33">
        <v>108</v>
      </c>
      <c r="C109" s="46" t="s">
        <v>32</v>
      </c>
      <c r="D109" s="33">
        <v>0.6</v>
      </c>
      <c r="E109" s="35"/>
      <c r="F109" s="35"/>
      <c r="G109" s="40">
        <v>1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40">
        <v>1</v>
      </c>
      <c r="O109" s="40">
        <v>1</v>
      </c>
      <c r="P109" s="33">
        <v>0</v>
      </c>
      <c r="Q109" s="33">
        <v>0</v>
      </c>
      <c r="R109" s="40">
        <v>1</v>
      </c>
      <c r="S109" s="40">
        <v>1</v>
      </c>
      <c r="T109" s="33">
        <v>0</v>
      </c>
      <c r="U109" s="33">
        <v>1</v>
      </c>
      <c r="V109" s="45">
        <v>5</v>
      </c>
      <c r="W109" s="43">
        <v>4</v>
      </c>
      <c r="X109" s="33">
        <v>3</v>
      </c>
      <c r="Y109" s="38" t="s">
        <v>36</v>
      </c>
    </row>
    <row r="110" ht="15" customHeight="1" spans="1:25">
      <c r="A110" s="32"/>
      <c r="B110" s="33">
        <v>109</v>
      </c>
      <c r="C110" s="34" t="s">
        <v>25</v>
      </c>
      <c r="D110" s="33">
        <v>0.85</v>
      </c>
      <c r="E110" s="35"/>
      <c r="F110" s="35"/>
      <c r="G110" s="33">
        <v>0</v>
      </c>
      <c r="H110" s="33">
        <v>0</v>
      </c>
      <c r="I110" s="40">
        <v>1</v>
      </c>
      <c r="J110" s="48">
        <v>1</v>
      </c>
      <c r="K110" s="48">
        <v>1</v>
      </c>
      <c r="L110" s="33">
        <v>0</v>
      </c>
      <c r="M110" s="40">
        <v>1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T110" s="33">
        <v>0</v>
      </c>
      <c r="U110" s="33">
        <v>0</v>
      </c>
      <c r="V110" s="37">
        <v>2</v>
      </c>
      <c r="W110" s="45">
        <v>5</v>
      </c>
      <c r="X110" s="33">
        <v>2</v>
      </c>
      <c r="Y110" s="38" t="s">
        <v>35</v>
      </c>
    </row>
    <row r="111" ht="15" customHeight="1" spans="1:25">
      <c r="A111" s="32"/>
      <c r="B111" s="33">
        <v>110</v>
      </c>
      <c r="C111" s="34" t="s">
        <v>25</v>
      </c>
      <c r="D111" s="33">
        <v>0.85</v>
      </c>
      <c r="E111" s="35"/>
      <c r="F111" s="35"/>
      <c r="G111" s="33">
        <v>0</v>
      </c>
      <c r="H111" s="40">
        <v>1</v>
      </c>
      <c r="I111" s="33">
        <v>0</v>
      </c>
      <c r="J111" s="48">
        <v>1</v>
      </c>
      <c r="K111" s="33">
        <v>0</v>
      </c>
      <c r="L111" s="33">
        <v>0</v>
      </c>
      <c r="M111" s="40">
        <v>1</v>
      </c>
      <c r="N111" s="33">
        <v>0</v>
      </c>
      <c r="O111" s="40">
        <v>1</v>
      </c>
      <c r="P111" s="33">
        <v>0</v>
      </c>
      <c r="Q111" s="40">
        <v>1</v>
      </c>
      <c r="R111" s="33">
        <v>0</v>
      </c>
      <c r="S111" s="40">
        <v>1</v>
      </c>
      <c r="T111" s="33">
        <v>1</v>
      </c>
      <c r="U111" s="33">
        <v>1</v>
      </c>
      <c r="V111" s="43">
        <v>4</v>
      </c>
      <c r="W111" s="43">
        <v>4</v>
      </c>
      <c r="X111" s="33">
        <v>3</v>
      </c>
      <c r="Y111" s="38" t="s">
        <v>36</v>
      </c>
    </row>
    <row r="112" ht="15" customHeight="1" spans="1:25">
      <c r="A112" s="32"/>
      <c r="B112" s="33">
        <v>111</v>
      </c>
      <c r="C112" s="47" t="s">
        <v>41</v>
      </c>
      <c r="D112" s="33">
        <v>0.4</v>
      </c>
      <c r="E112" s="35"/>
      <c r="F112" s="35"/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40">
        <v>1</v>
      </c>
      <c r="P112" s="33">
        <v>0</v>
      </c>
      <c r="Q112" s="40">
        <v>1</v>
      </c>
      <c r="R112" s="40">
        <v>1</v>
      </c>
      <c r="S112" s="40">
        <v>1</v>
      </c>
      <c r="T112" s="33">
        <v>1</v>
      </c>
      <c r="U112" s="33">
        <v>1</v>
      </c>
      <c r="V112" s="43">
        <v>4</v>
      </c>
      <c r="W112" s="43">
        <v>4</v>
      </c>
      <c r="X112" s="33">
        <v>4</v>
      </c>
      <c r="Y112" s="38" t="s">
        <v>38</v>
      </c>
    </row>
    <row r="113" ht="15" customHeight="1" spans="1:25">
      <c r="A113" s="32"/>
      <c r="B113" s="33">
        <v>112</v>
      </c>
      <c r="C113" s="34" t="s">
        <v>25</v>
      </c>
      <c r="D113" s="33">
        <v>0.85</v>
      </c>
      <c r="E113" s="35"/>
      <c r="F113" s="35"/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40">
        <v>1</v>
      </c>
      <c r="O113" s="33">
        <v>0</v>
      </c>
      <c r="P113" s="33">
        <v>0</v>
      </c>
      <c r="Q113" s="33">
        <v>0</v>
      </c>
      <c r="R113" s="40">
        <v>1</v>
      </c>
      <c r="S113" s="40">
        <v>1</v>
      </c>
      <c r="T113" s="33">
        <v>0</v>
      </c>
      <c r="U113" s="33">
        <v>1</v>
      </c>
      <c r="V113" s="39">
        <v>3</v>
      </c>
      <c r="W113" s="43">
        <v>4</v>
      </c>
      <c r="X113" s="33">
        <v>6</v>
      </c>
      <c r="Y113" s="38" t="s">
        <v>42</v>
      </c>
    </row>
    <row r="114" ht="15" customHeight="1" spans="1:25">
      <c r="A114" s="32"/>
      <c r="B114" s="33">
        <v>113</v>
      </c>
      <c r="C114" s="34" t="s">
        <v>25</v>
      </c>
      <c r="D114" s="33">
        <v>0.85</v>
      </c>
      <c r="E114" s="35"/>
      <c r="F114" s="35"/>
      <c r="G114" s="40">
        <v>1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40">
        <v>1</v>
      </c>
      <c r="P114" s="33">
        <v>0</v>
      </c>
      <c r="Q114" s="40">
        <v>1</v>
      </c>
      <c r="R114" s="33">
        <v>0</v>
      </c>
      <c r="S114" s="40">
        <v>1</v>
      </c>
      <c r="T114" s="33">
        <v>0</v>
      </c>
      <c r="U114" s="33">
        <v>1</v>
      </c>
      <c r="V114" s="43">
        <v>4</v>
      </c>
      <c r="W114" s="43">
        <v>4</v>
      </c>
      <c r="X114" s="33">
        <v>2</v>
      </c>
      <c r="Y114" s="38" t="s">
        <v>35</v>
      </c>
    </row>
    <row r="115" ht="15" customHeight="1" spans="1:25">
      <c r="A115" s="32"/>
      <c r="B115" s="33">
        <v>114</v>
      </c>
      <c r="C115" s="34" t="s">
        <v>25</v>
      </c>
      <c r="D115" s="33">
        <v>0.85</v>
      </c>
      <c r="E115" s="35"/>
      <c r="F115" s="35"/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40">
        <v>1</v>
      </c>
      <c r="O115" s="40">
        <v>1</v>
      </c>
      <c r="P115" s="33">
        <v>0</v>
      </c>
      <c r="Q115" s="40">
        <v>1</v>
      </c>
      <c r="R115" s="40">
        <v>1</v>
      </c>
      <c r="S115" s="33">
        <v>0</v>
      </c>
      <c r="T115" s="33">
        <v>0</v>
      </c>
      <c r="U115" s="33">
        <v>0</v>
      </c>
      <c r="V115" s="43">
        <v>4</v>
      </c>
      <c r="W115" s="43">
        <v>4</v>
      </c>
      <c r="X115" s="33">
        <v>2</v>
      </c>
      <c r="Y115" s="38" t="s">
        <v>35</v>
      </c>
    </row>
    <row r="116" ht="15" customHeight="1" spans="1:25">
      <c r="A116" s="32"/>
      <c r="B116" s="33">
        <v>115</v>
      </c>
      <c r="C116" s="46" t="s">
        <v>32</v>
      </c>
      <c r="D116" s="33">
        <v>0.6</v>
      </c>
      <c r="E116" s="35"/>
      <c r="F116" s="35"/>
      <c r="G116" s="33">
        <v>0</v>
      </c>
      <c r="H116" s="33">
        <v>0</v>
      </c>
      <c r="I116" s="33">
        <v>0</v>
      </c>
      <c r="J116" s="48">
        <v>1</v>
      </c>
      <c r="K116" s="48">
        <v>1</v>
      </c>
      <c r="L116" s="33">
        <v>0</v>
      </c>
      <c r="M116" s="40">
        <v>1</v>
      </c>
      <c r="N116" s="33">
        <v>0</v>
      </c>
      <c r="O116" s="40">
        <v>1</v>
      </c>
      <c r="P116" s="33">
        <v>0</v>
      </c>
      <c r="Q116" s="40">
        <v>1</v>
      </c>
      <c r="R116" s="40">
        <v>1</v>
      </c>
      <c r="S116" s="40">
        <v>1</v>
      </c>
      <c r="T116" s="33">
        <v>1</v>
      </c>
      <c r="U116" s="33">
        <v>1</v>
      </c>
      <c r="V116" s="45">
        <v>5</v>
      </c>
      <c r="W116" s="43">
        <v>4</v>
      </c>
      <c r="X116" s="33">
        <v>3</v>
      </c>
      <c r="Y116" s="38" t="s">
        <v>36</v>
      </c>
    </row>
    <row r="117" ht="15" customHeight="1" spans="1:25">
      <c r="A117" s="32"/>
      <c r="B117" s="33">
        <v>116</v>
      </c>
      <c r="C117" s="34" t="s">
        <v>25</v>
      </c>
      <c r="D117" s="33">
        <v>0.85</v>
      </c>
      <c r="E117" s="35"/>
      <c r="F117" s="35"/>
      <c r="G117" s="40">
        <v>1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40">
        <v>1</v>
      </c>
      <c r="S117" s="40">
        <v>1</v>
      </c>
      <c r="T117" s="33">
        <v>0</v>
      </c>
      <c r="U117" s="33">
        <v>1</v>
      </c>
      <c r="V117" s="39">
        <v>3</v>
      </c>
      <c r="W117" s="43">
        <v>4</v>
      </c>
      <c r="X117" s="33">
        <v>2</v>
      </c>
      <c r="Y117" s="38" t="s">
        <v>35</v>
      </c>
    </row>
    <row r="118" ht="15" customHeight="1" spans="1:25">
      <c r="A118" s="32"/>
      <c r="B118" s="33">
        <v>117</v>
      </c>
      <c r="C118" s="34" t="s">
        <v>25</v>
      </c>
      <c r="D118" s="33">
        <v>0.85</v>
      </c>
      <c r="E118" s="35"/>
      <c r="F118" s="35"/>
      <c r="G118" s="33">
        <v>0</v>
      </c>
      <c r="H118" s="33">
        <v>0</v>
      </c>
      <c r="I118" s="40">
        <v>1</v>
      </c>
      <c r="J118" s="33">
        <v>0</v>
      </c>
      <c r="K118" s="33">
        <v>0</v>
      </c>
      <c r="L118" s="33">
        <v>0</v>
      </c>
      <c r="M118" s="33">
        <v>0</v>
      </c>
      <c r="N118" s="40">
        <v>1</v>
      </c>
      <c r="O118" s="33">
        <v>0</v>
      </c>
      <c r="P118" s="33">
        <v>0</v>
      </c>
      <c r="Q118" s="40">
        <v>1</v>
      </c>
      <c r="R118" s="33">
        <v>0</v>
      </c>
      <c r="S118" s="40">
        <v>1</v>
      </c>
      <c r="T118" s="33">
        <v>1</v>
      </c>
      <c r="U118" s="33">
        <v>1</v>
      </c>
      <c r="V118" s="43">
        <v>4</v>
      </c>
      <c r="W118" s="43">
        <v>4</v>
      </c>
      <c r="X118" s="33">
        <v>4</v>
      </c>
      <c r="Y118" s="38" t="s">
        <v>38</v>
      </c>
    </row>
    <row r="119" ht="15" customHeight="1" spans="1:25">
      <c r="A119" s="32"/>
      <c r="B119" s="33">
        <v>118</v>
      </c>
      <c r="C119" s="47" t="s">
        <v>41</v>
      </c>
      <c r="D119" s="33">
        <v>0.4</v>
      </c>
      <c r="E119" s="35"/>
      <c r="F119" s="35"/>
      <c r="G119" s="40">
        <v>1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40">
        <v>1</v>
      </c>
      <c r="P119" s="33">
        <v>0</v>
      </c>
      <c r="Q119" s="33">
        <v>0</v>
      </c>
      <c r="R119" s="33">
        <v>0</v>
      </c>
      <c r="S119" s="40">
        <v>1</v>
      </c>
      <c r="T119" s="33">
        <v>0</v>
      </c>
      <c r="U119" s="33">
        <v>1</v>
      </c>
      <c r="V119" s="39">
        <v>3</v>
      </c>
      <c r="W119" s="45">
        <v>5</v>
      </c>
      <c r="X119" s="33">
        <v>2</v>
      </c>
      <c r="Y119" s="38" t="s">
        <v>35</v>
      </c>
    </row>
    <row r="120" ht="15" customHeight="1" spans="1:25">
      <c r="A120" s="32"/>
      <c r="B120" s="33">
        <v>119</v>
      </c>
      <c r="C120" s="34" t="s">
        <v>25</v>
      </c>
      <c r="D120" s="33">
        <v>0.85</v>
      </c>
      <c r="E120" s="35"/>
      <c r="F120" s="35"/>
      <c r="G120" s="40">
        <v>1</v>
      </c>
      <c r="H120" s="40">
        <v>1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40">
        <v>1</v>
      </c>
      <c r="P120" s="33">
        <v>0</v>
      </c>
      <c r="Q120" s="40">
        <v>1</v>
      </c>
      <c r="R120" s="40">
        <v>1</v>
      </c>
      <c r="S120" s="33">
        <v>0</v>
      </c>
      <c r="T120" s="33">
        <v>0</v>
      </c>
      <c r="U120" s="33">
        <v>0</v>
      </c>
      <c r="V120" s="43">
        <v>4</v>
      </c>
      <c r="W120" s="43">
        <v>4</v>
      </c>
      <c r="X120" s="33">
        <v>6</v>
      </c>
      <c r="Y120" s="38" t="s">
        <v>42</v>
      </c>
    </row>
    <row r="121" ht="15" customHeight="1" spans="1:25">
      <c r="A121" s="32"/>
      <c r="B121" s="33">
        <v>120</v>
      </c>
      <c r="C121" s="34" t="s">
        <v>25</v>
      </c>
      <c r="D121" s="33">
        <v>0.85</v>
      </c>
      <c r="E121" s="35"/>
      <c r="F121" s="35"/>
      <c r="G121" s="40">
        <v>1</v>
      </c>
      <c r="H121" s="33">
        <v>0</v>
      </c>
      <c r="I121" s="33">
        <v>0</v>
      </c>
      <c r="J121" s="48">
        <v>1</v>
      </c>
      <c r="K121" s="48">
        <v>1</v>
      </c>
      <c r="L121" s="33">
        <v>0</v>
      </c>
      <c r="M121" s="40">
        <v>1</v>
      </c>
      <c r="N121" s="33">
        <v>0</v>
      </c>
      <c r="O121" s="33">
        <v>0</v>
      </c>
      <c r="P121" s="33">
        <v>0</v>
      </c>
      <c r="Q121" s="33">
        <v>0</v>
      </c>
      <c r="R121" s="40">
        <v>1</v>
      </c>
      <c r="S121" s="33">
        <v>0</v>
      </c>
      <c r="T121" s="33">
        <v>1</v>
      </c>
      <c r="U121" s="33">
        <v>1</v>
      </c>
      <c r="V121" s="39">
        <v>3</v>
      </c>
      <c r="W121" s="43">
        <v>4</v>
      </c>
      <c r="X121" s="33">
        <v>3</v>
      </c>
      <c r="Y121" s="38" t="s">
        <v>36</v>
      </c>
    </row>
    <row r="122" ht="17.25" customHeight="1" spans="1:25">
      <c r="A122" s="32" t="s">
        <v>56</v>
      </c>
      <c r="B122" s="33">
        <v>121</v>
      </c>
      <c r="C122" s="34" t="s">
        <v>25</v>
      </c>
      <c r="D122" s="33">
        <v>0.85</v>
      </c>
      <c r="E122" s="34" t="s">
        <v>56</v>
      </c>
      <c r="F122" s="35"/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40">
        <v>1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41">
        <v>1</v>
      </c>
      <c r="W122" s="43">
        <v>4</v>
      </c>
      <c r="X122" s="33">
        <v>6</v>
      </c>
      <c r="Y122" s="38" t="s">
        <v>42</v>
      </c>
    </row>
    <row r="123" ht="15" customHeight="1" spans="1:25">
      <c r="A123" s="32"/>
      <c r="B123" s="33">
        <v>122</v>
      </c>
      <c r="C123" s="34" t="s">
        <v>25</v>
      </c>
      <c r="D123" s="33">
        <v>0.85</v>
      </c>
      <c r="E123" s="35"/>
      <c r="F123" s="35"/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40">
        <v>1</v>
      </c>
      <c r="Q123" s="40">
        <v>1</v>
      </c>
      <c r="R123" s="33">
        <v>0</v>
      </c>
      <c r="S123" s="40">
        <v>1</v>
      </c>
      <c r="T123" s="33">
        <v>0</v>
      </c>
      <c r="U123" s="33">
        <v>0</v>
      </c>
      <c r="V123" s="39">
        <v>3</v>
      </c>
      <c r="W123" s="43">
        <v>4</v>
      </c>
      <c r="X123" s="33">
        <v>6</v>
      </c>
      <c r="Y123" s="38" t="s">
        <v>42</v>
      </c>
    </row>
    <row r="124" ht="15" customHeight="1" spans="1:25">
      <c r="A124" s="32"/>
      <c r="B124" s="33">
        <v>123</v>
      </c>
      <c r="C124" s="34" t="s">
        <v>25</v>
      </c>
      <c r="D124" s="33">
        <v>0.85</v>
      </c>
      <c r="E124" s="35"/>
      <c r="F124" s="35"/>
      <c r="G124" s="40">
        <v>1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40">
        <v>1</v>
      </c>
      <c r="Q124" s="33">
        <v>0</v>
      </c>
      <c r="R124" s="40">
        <v>1</v>
      </c>
      <c r="S124" s="40">
        <v>1</v>
      </c>
      <c r="T124" s="33">
        <v>0</v>
      </c>
      <c r="U124" s="33">
        <v>1</v>
      </c>
      <c r="V124" s="43">
        <v>4</v>
      </c>
      <c r="W124" s="43">
        <v>4</v>
      </c>
      <c r="X124" s="33">
        <v>4</v>
      </c>
      <c r="Y124" s="38" t="s">
        <v>38</v>
      </c>
    </row>
    <row r="125" ht="15" customHeight="1" spans="1:25">
      <c r="A125" s="32"/>
      <c r="B125" s="33">
        <v>124</v>
      </c>
      <c r="C125" s="46" t="s">
        <v>32</v>
      </c>
      <c r="D125" s="33">
        <v>0.6</v>
      </c>
      <c r="E125" s="35"/>
      <c r="F125" s="35"/>
      <c r="G125" s="40">
        <v>1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40">
        <v>1</v>
      </c>
      <c r="O125" s="40">
        <v>1</v>
      </c>
      <c r="P125" s="40">
        <v>1</v>
      </c>
      <c r="Q125" s="33">
        <v>0</v>
      </c>
      <c r="R125" s="40">
        <v>1</v>
      </c>
      <c r="S125" s="40">
        <v>1</v>
      </c>
      <c r="T125" s="33">
        <v>1</v>
      </c>
      <c r="U125" s="33">
        <v>1</v>
      </c>
      <c r="V125" s="50">
        <v>6</v>
      </c>
      <c r="W125" s="43">
        <v>4</v>
      </c>
      <c r="X125" s="33">
        <v>6</v>
      </c>
      <c r="Y125" s="38" t="s">
        <v>42</v>
      </c>
    </row>
    <row r="126" ht="15" customHeight="1" spans="1:25">
      <c r="A126" s="32"/>
      <c r="B126" s="33">
        <v>125</v>
      </c>
      <c r="C126" s="34" t="s">
        <v>25</v>
      </c>
      <c r="D126" s="33">
        <v>0.85</v>
      </c>
      <c r="E126" s="35"/>
      <c r="F126" s="35"/>
      <c r="G126" s="40">
        <v>1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40">
        <v>1</v>
      </c>
      <c r="Q126" s="40">
        <v>1</v>
      </c>
      <c r="R126" s="33">
        <v>0</v>
      </c>
      <c r="S126" s="40">
        <v>1</v>
      </c>
      <c r="T126" s="33">
        <v>0</v>
      </c>
      <c r="U126" s="33">
        <v>1</v>
      </c>
      <c r="V126" s="43">
        <v>4</v>
      </c>
      <c r="W126" s="43">
        <v>4</v>
      </c>
      <c r="X126" s="33">
        <v>6</v>
      </c>
      <c r="Y126" s="38" t="s">
        <v>42</v>
      </c>
    </row>
    <row r="127" ht="15" customHeight="1" spans="1:25">
      <c r="A127" s="32"/>
      <c r="B127" s="33">
        <v>126</v>
      </c>
      <c r="C127" s="34" t="s">
        <v>25</v>
      </c>
      <c r="D127" s="33">
        <v>0.85</v>
      </c>
      <c r="E127" s="35"/>
      <c r="F127" s="35"/>
      <c r="G127" s="33">
        <v>0</v>
      </c>
      <c r="H127" s="40">
        <v>1</v>
      </c>
      <c r="I127" s="33">
        <v>0</v>
      </c>
      <c r="J127" s="33">
        <v>0</v>
      </c>
      <c r="K127" s="33">
        <v>0</v>
      </c>
      <c r="L127" s="48">
        <v>1</v>
      </c>
      <c r="M127" s="40">
        <v>1</v>
      </c>
      <c r="N127" s="33">
        <v>0</v>
      </c>
      <c r="O127" s="40">
        <v>1</v>
      </c>
      <c r="P127" s="33">
        <v>0</v>
      </c>
      <c r="Q127" s="40">
        <v>1</v>
      </c>
      <c r="R127" s="40">
        <v>1</v>
      </c>
      <c r="S127" s="33">
        <v>0</v>
      </c>
      <c r="T127" s="33">
        <v>0</v>
      </c>
      <c r="U127" s="33">
        <v>0</v>
      </c>
      <c r="V127" s="43">
        <v>4</v>
      </c>
      <c r="W127" s="43">
        <v>4</v>
      </c>
      <c r="X127" s="33">
        <v>5</v>
      </c>
      <c r="Y127" s="38" t="s">
        <v>40</v>
      </c>
    </row>
    <row r="128" ht="15" customHeight="1" spans="1:25">
      <c r="A128" s="32"/>
      <c r="B128" s="33">
        <v>127</v>
      </c>
      <c r="C128" s="34" t="s">
        <v>25</v>
      </c>
      <c r="D128" s="33">
        <v>0.85</v>
      </c>
      <c r="E128" s="35"/>
      <c r="F128" s="35"/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40">
        <v>1</v>
      </c>
      <c r="Q128" s="33">
        <v>0</v>
      </c>
      <c r="R128" s="40">
        <v>1</v>
      </c>
      <c r="S128" s="40">
        <v>1</v>
      </c>
      <c r="T128" s="33">
        <v>1</v>
      </c>
      <c r="U128" s="33">
        <v>1</v>
      </c>
      <c r="V128" s="39">
        <v>3</v>
      </c>
      <c r="W128" s="43">
        <v>4</v>
      </c>
      <c r="X128" s="33">
        <v>6</v>
      </c>
      <c r="Y128" s="38" t="s">
        <v>42</v>
      </c>
    </row>
    <row r="129" ht="15" customHeight="1" spans="1:25">
      <c r="A129" s="32"/>
      <c r="B129" s="33">
        <v>128</v>
      </c>
      <c r="C129" s="47" t="s">
        <v>41</v>
      </c>
      <c r="D129" s="33">
        <v>0.4</v>
      </c>
      <c r="E129" s="35"/>
      <c r="F129" s="35"/>
      <c r="G129" s="33">
        <v>0</v>
      </c>
      <c r="H129" s="33">
        <v>0</v>
      </c>
      <c r="I129" s="40">
        <v>1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40">
        <v>1</v>
      </c>
      <c r="Q129" s="33">
        <v>0</v>
      </c>
      <c r="R129" s="40">
        <v>1</v>
      </c>
      <c r="S129" s="33">
        <v>0</v>
      </c>
      <c r="T129" s="33">
        <v>0</v>
      </c>
      <c r="U129" s="33">
        <v>0</v>
      </c>
      <c r="V129" s="39">
        <v>3</v>
      </c>
      <c r="W129" s="45">
        <v>5</v>
      </c>
      <c r="X129" s="33">
        <v>6</v>
      </c>
      <c r="Y129" s="38" t="s">
        <v>42</v>
      </c>
    </row>
    <row r="130" ht="15" customHeight="1" spans="1:25">
      <c r="A130" s="32"/>
      <c r="B130" s="33">
        <v>129</v>
      </c>
      <c r="C130" s="34" t="s">
        <v>25</v>
      </c>
      <c r="D130" s="33">
        <v>0.85</v>
      </c>
      <c r="E130" s="35"/>
      <c r="F130" s="35"/>
      <c r="G130" s="40">
        <v>1</v>
      </c>
      <c r="H130" s="33">
        <v>0</v>
      </c>
      <c r="I130" s="33">
        <v>0</v>
      </c>
      <c r="J130" s="48">
        <v>1</v>
      </c>
      <c r="K130" s="48">
        <v>1</v>
      </c>
      <c r="L130" s="33">
        <v>0</v>
      </c>
      <c r="M130" s="40">
        <v>1</v>
      </c>
      <c r="N130" s="33">
        <v>0</v>
      </c>
      <c r="O130" s="33">
        <v>0</v>
      </c>
      <c r="P130" s="33">
        <v>0</v>
      </c>
      <c r="Q130" s="33">
        <v>0</v>
      </c>
      <c r="R130" s="40">
        <v>1</v>
      </c>
      <c r="S130" s="33">
        <v>0</v>
      </c>
      <c r="T130" s="33">
        <v>0</v>
      </c>
      <c r="U130" s="33">
        <v>0</v>
      </c>
      <c r="V130" s="39">
        <v>3</v>
      </c>
      <c r="W130" s="45">
        <v>5</v>
      </c>
      <c r="X130" s="33">
        <v>4</v>
      </c>
      <c r="Y130" s="38" t="s">
        <v>38</v>
      </c>
    </row>
    <row r="131" ht="15" customHeight="1" spans="1:25">
      <c r="A131" s="32"/>
      <c r="B131" s="33">
        <v>130</v>
      </c>
      <c r="C131" s="34" t="s">
        <v>25</v>
      </c>
      <c r="D131" s="33">
        <v>0.85</v>
      </c>
      <c r="E131" s="35"/>
      <c r="F131" s="35"/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40">
        <v>1</v>
      </c>
      <c r="O131" s="33">
        <v>0</v>
      </c>
      <c r="P131" s="40">
        <v>1</v>
      </c>
      <c r="Q131" s="40">
        <v>1</v>
      </c>
      <c r="R131" s="33">
        <v>0</v>
      </c>
      <c r="S131" s="40">
        <v>1</v>
      </c>
      <c r="T131" s="33">
        <v>1</v>
      </c>
      <c r="U131" s="33">
        <v>1</v>
      </c>
      <c r="V131" s="43">
        <v>4</v>
      </c>
      <c r="W131" s="43">
        <v>4</v>
      </c>
      <c r="X131" s="33">
        <v>6</v>
      </c>
      <c r="Y131" s="38" t="s">
        <v>42</v>
      </c>
    </row>
    <row r="132" ht="17.25" customHeight="1" spans="1:25">
      <c r="A132" s="51" t="s">
        <v>57</v>
      </c>
      <c r="B132" s="33">
        <v>131</v>
      </c>
      <c r="C132" s="34" t="s">
        <v>25</v>
      </c>
      <c r="D132" s="33">
        <v>0.85</v>
      </c>
      <c r="E132" s="35"/>
      <c r="F132" s="35"/>
      <c r="G132" s="40">
        <v>1</v>
      </c>
      <c r="H132" s="33">
        <v>0</v>
      </c>
      <c r="I132" s="33">
        <v>0</v>
      </c>
      <c r="J132" s="33">
        <v>0</v>
      </c>
      <c r="K132" s="33">
        <v>0</v>
      </c>
      <c r="L132" s="48">
        <v>1</v>
      </c>
      <c r="M132" s="40">
        <v>1</v>
      </c>
      <c r="N132" s="33">
        <v>0</v>
      </c>
      <c r="O132" s="40">
        <v>1</v>
      </c>
      <c r="P132" s="33">
        <v>0</v>
      </c>
      <c r="Q132" s="33">
        <v>0</v>
      </c>
      <c r="R132" s="40">
        <v>1</v>
      </c>
      <c r="S132" s="40">
        <v>1</v>
      </c>
      <c r="T132" s="33">
        <v>0</v>
      </c>
      <c r="U132" s="33">
        <v>1</v>
      </c>
      <c r="V132" s="45">
        <v>5</v>
      </c>
      <c r="W132" s="43">
        <v>4</v>
      </c>
      <c r="X132" s="33">
        <v>6</v>
      </c>
      <c r="Y132" s="38" t="s">
        <v>42</v>
      </c>
    </row>
    <row r="133" ht="15" customHeight="1" spans="1:25">
      <c r="A133" s="51"/>
      <c r="B133" s="33">
        <v>132</v>
      </c>
      <c r="C133" s="34" t="s">
        <v>25</v>
      </c>
      <c r="D133" s="33">
        <v>0.85</v>
      </c>
      <c r="E133" s="35"/>
      <c r="F133" s="35"/>
      <c r="G133" s="40">
        <v>1</v>
      </c>
      <c r="H133" s="33">
        <v>0</v>
      </c>
      <c r="I133" s="40">
        <v>1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40">
        <v>1</v>
      </c>
      <c r="S133" s="40">
        <v>1</v>
      </c>
      <c r="T133" s="33">
        <v>1</v>
      </c>
      <c r="U133" s="33">
        <v>1</v>
      </c>
      <c r="V133" s="43">
        <v>4</v>
      </c>
      <c r="W133" s="43">
        <v>4</v>
      </c>
      <c r="X133" s="33">
        <v>5</v>
      </c>
      <c r="Y133" s="38" t="s">
        <v>40</v>
      </c>
    </row>
    <row r="134" ht="15" customHeight="1" spans="1:25">
      <c r="A134" s="51"/>
      <c r="B134" s="33">
        <v>133</v>
      </c>
      <c r="C134" s="34" t="s">
        <v>25</v>
      </c>
      <c r="D134" s="33">
        <v>0.85</v>
      </c>
      <c r="E134" s="35"/>
      <c r="F134" s="35"/>
      <c r="G134" s="33">
        <v>0</v>
      </c>
      <c r="H134" s="40">
        <v>1</v>
      </c>
      <c r="I134" s="33">
        <v>0</v>
      </c>
      <c r="J134" s="48">
        <v>1</v>
      </c>
      <c r="K134" s="33">
        <v>0</v>
      </c>
      <c r="L134" s="33">
        <v>0</v>
      </c>
      <c r="M134" s="40">
        <v>1</v>
      </c>
      <c r="N134" s="33">
        <v>0</v>
      </c>
      <c r="O134" s="40">
        <v>1</v>
      </c>
      <c r="P134" s="33">
        <v>0</v>
      </c>
      <c r="Q134" s="40">
        <v>1</v>
      </c>
      <c r="R134" s="33">
        <v>0</v>
      </c>
      <c r="S134" s="40">
        <v>1</v>
      </c>
      <c r="T134" s="33">
        <v>0</v>
      </c>
      <c r="U134" s="33">
        <v>1</v>
      </c>
      <c r="V134" s="43">
        <v>4</v>
      </c>
      <c r="W134" s="43">
        <v>4</v>
      </c>
      <c r="X134" s="33">
        <v>6</v>
      </c>
      <c r="Y134" s="38" t="s">
        <v>42</v>
      </c>
    </row>
    <row r="135" ht="15" customHeight="1" spans="1:25">
      <c r="A135" s="51"/>
      <c r="B135" s="33">
        <v>134</v>
      </c>
      <c r="C135" s="46" t="s">
        <v>32</v>
      </c>
      <c r="D135" s="33">
        <v>0.6</v>
      </c>
      <c r="E135" s="35"/>
      <c r="F135" s="35"/>
      <c r="G135" s="33">
        <v>0</v>
      </c>
      <c r="H135" s="33">
        <v>0</v>
      </c>
      <c r="I135" s="40">
        <v>1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40">
        <v>1</v>
      </c>
      <c r="Q135" s="33">
        <v>0</v>
      </c>
      <c r="R135" s="40">
        <v>1</v>
      </c>
      <c r="S135" s="40">
        <v>1</v>
      </c>
      <c r="T135" s="33">
        <v>1</v>
      </c>
      <c r="U135" s="33">
        <v>1</v>
      </c>
      <c r="V135" s="43">
        <v>4</v>
      </c>
      <c r="W135" s="43">
        <v>4</v>
      </c>
      <c r="X135" s="33">
        <v>6</v>
      </c>
      <c r="Y135" s="38" t="s">
        <v>42</v>
      </c>
    </row>
    <row r="136" ht="15" customHeight="1" spans="1:25">
      <c r="A136" s="51"/>
      <c r="B136" s="33">
        <v>135</v>
      </c>
      <c r="C136" s="34" t="s">
        <v>25</v>
      </c>
      <c r="D136" s="33">
        <v>0.85</v>
      </c>
      <c r="E136" s="35"/>
      <c r="F136" s="35"/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40">
        <v>1</v>
      </c>
      <c r="O136" s="33">
        <v>0</v>
      </c>
      <c r="P136" s="40">
        <v>1</v>
      </c>
      <c r="Q136" s="40">
        <v>1</v>
      </c>
      <c r="R136" s="33">
        <v>0</v>
      </c>
      <c r="S136" s="40">
        <v>1</v>
      </c>
      <c r="T136" s="33">
        <v>1</v>
      </c>
      <c r="U136" s="33">
        <v>1</v>
      </c>
      <c r="V136" s="43">
        <v>4</v>
      </c>
      <c r="W136" s="43">
        <v>4</v>
      </c>
      <c r="X136" s="33">
        <v>2</v>
      </c>
      <c r="Y136" s="38" t="s">
        <v>35</v>
      </c>
    </row>
    <row r="137" ht="15" customHeight="1" spans="1:25">
      <c r="A137" s="51"/>
      <c r="B137" s="33">
        <v>136</v>
      </c>
      <c r="C137" s="34" t="s">
        <v>25</v>
      </c>
      <c r="D137" s="33">
        <v>0.85</v>
      </c>
      <c r="E137" s="35"/>
      <c r="F137" s="35"/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40">
        <v>1</v>
      </c>
      <c r="O137" s="40">
        <v>1</v>
      </c>
      <c r="P137" s="33">
        <v>0</v>
      </c>
      <c r="Q137" s="40">
        <v>1</v>
      </c>
      <c r="R137" s="40">
        <v>1</v>
      </c>
      <c r="S137" s="33">
        <v>0</v>
      </c>
      <c r="T137" s="33">
        <v>0</v>
      </c>
      <c r="U137" s="33">
        <v>0</v>
      </c>
      <c r="V137" s="43">
        <v>4</v>
      </c>
      <c r="W137" s="43">
        <v>4</v>
      </c>
      <c r="X137" s="33">
        <v>6</v>
      </c>
      <c r="Y137" s="38" t="s">
        <v>42</v>
      </c>
    </row>
    <row r="138" ht="15" customHeight="1" spans="1:25">
      <c r="A138" s="51"/>
      <c r="B138" s="33">
        <v>137</v>
      </c>
      <c r="C138" s="47" t="s">
        <v>41</v>
      </c>
      <c r="D138" s="33">
        <v>0.4</v>
      </c>
      <c r="E138" s="35"/>
      <c r="F138" s="35"/>
      <c r="G138" s="40">
        <v>1</v>
      </c>
      <c r="H138" s="33">
        <v>0</v>
      </c>
      <c r="I138" s="33">
        <v>0</v>
      </c>
      <c r="J138" s="33">
        <v>0</v>
      </c>
      <c r="K138" s="33">
        <v>0</v>
      </c>
      <c r="L138" s="48">
        <v>1</v>
      </c>
      <c r="M138" s="40">
        <v>1</v>
      </c>
      <c r="N138" s="33">
        <v>0</v>
      </c>
      <c r="O138" s="33">
        <v>0</v>
      </c>
      <c r="P138" s="33">
        <v>0</v>
      </c>
      <c r="Q138" s="40">
        <v>1</v>
      </c>
      <c r="R138" s="40">
        <v>1</v>
      </c>
      <c r="S138" s="40">
        <v>1</v>
      </c>
      <c r="T138" s="33">
        <v>1</v>
      </c>
      <c r="U138" s="33">
        <v>1</v>
      </c>
      <c r="V138" s="45">
        <v>5</v>
      </c>
      <c r="W138" s="43">
        <v>4</v>
      </c>
      <c r="X138" s="33">
        <v>6</v>
      </c>
      <c r="Y138" s="38" t="s">
        <v>42</v>
      </c>
    </row>
    <row r="139" ht="15" customHeight="1" spans="1:25">
      <c r="A139" s="51"/>
      <c r="B139" s="33">
        <v>138</v>
      </c>
      <c r="C139" s="34" t="s">
        <v>25</v>
      </c>
      <c r="D139" s="33">
        <v>0.85</v>
      </c>
      <c r="E139" s="35"/>
      <c r="F139" s="35"/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40">
        <v>1</v>
      </c>
      <c r="O139" s="40">
        <v>1</v>
      </c>
      <c r="P139" s="33">
        <v>0</v>
      </c>
      <c r="Q139" s="33">
        <v>0</v>
      </c>
      <c r="R139" s="40">
        <v>1</v>
      </c>
      <c r="S139" s="33">
        <v>0</v>
      </c>
      <c r="T139" s="33">
        <v>1</v>
      </c>
      <c r="U139" s="33">
        <v>1</v>
      </c>
      <c r="V139" s="39">
        <v>3</v>
      </c>
      <c r="W139" s="43">
        <v>4</v>
      </c>
      <c r="X139" s="33">
        <v>5</v>
      </c>
      <c r="Y139" s="38" t="s">
        <v>40</v>
      </c>
    </row>
    <row r="140" ht="15" customHeight="1" spans="1:25">
      <c r="A140" s="51"/>
      <c r="B140" s="33">
        <v>139</v>
      </c>
      <c r="C140" s="34" t="s">
        <v>25</v>
      </c>
      <c r="D140" s="33">
        <v>0.85</v>
      </c>
      <c r="E140" s="35"/>
      <c r="F140" s="35"/>
      <c r="G140" s="40">
        <v>1</v>
      </c>
      <c r="H140" s="33">
        <v>0</v>
      </c>
      <c r="I140" s="40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40">
        <v>1</v>
      </c>
      <c r="Q140" s="40">
        <v>1</v>
      </c>
      <c r="R140" s="40">
        <v>1</v>
      </c>
      <c r="S140" s="33">
        <v>0</v>
      </c>
      <c r="T140" s="33">
        <v>0</v>
      </c>
      <c r="U140" s="33">
        <v>0</v>
      </c>
      <c r="V140" s="45">
        <v>5</v>
      </c>
      <c r="W140" s="43">
        <v>4</v>
      </c>
      <c r="X140" s="33">
        <v>6</v>
      </c>
      <c r="Y140" s="38" t="s">
        <v>42</v>
      </c>
    </row>
    <row r="141" ht="15" customHeight="1" spans="1:25">
      <c r="A141" s="51"/>
      <c r="B141" s="33">
        <v>140</v>
      </c>
      <c r="C141" s="34" t="s">
        <v>25</v>
      </c>
      <c r="D141" s="33">
        <v>0.85</v>
      </c>
      <c r="E141" s="35"/>
      <c r="F141" s="35"/>
      <c r="G141" s="33">
        <v>0</v>
      </c>
      <c r="H141" s="40">
        <v>1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40">
        <v>1</v>
      </c>
      <c r="O141" s="40">
        <v>1</v>
      </c>
      <c r="P141" s="33">
        <v>0</v>
      </c>
      <c r="Q141" s="33">
        <v>0</v>
      </c>
      <c r="R141" s="40">
        <v>1</v>
      </c>
      <c r="S141" s="40">
        <v>1</v>
      </c>
      <c r="T141" s="33">
        <v>1</v>
      </c>
      <c r="U141" s="33">
        <v>0</v>
      </c>
      <c r="V141" s="43">
        <v>4</v>
      </c>
      <c r="W141" s="43">
        <v>4</v>
      </c>
      <c r="X141" s="33">
        <v>6</v>
      </c>
      <c r="Y141" s="38" t="s">
        <v>42</v>
      </c>
    </row>
    <row r="142" ht="15" customHeight="1" spans="1:25">
      <c r="A142" s="51"/>
      <c r="B142" s="33">
        <v>141</v>
      </c>
      <c r="C142" s="46" t="s">
        <v>32</v>
      </c>
      <c r="D142" s="33">
        <v>0.6</v>
      </c>
      <c r="E142" s="35"/>
      <c r="F142" s="35"/>
      <c r="G142" s="33">
        <v>0</v>
      </c>
      <c r="H142" s="33">
        <v>0</v>
      </c>
      <c r="I142" s="33">
        <v>0</v>
      </c>
      <c r="J142" s="48">
        <v>1</v>
      </c>
      <c r="K142" s="48">
        <v>1</v>
      </c>
      <c r="L142" s="33">
        <v>0</v>
      </c>
      <c r="M142" s="40">
        <v>1</v>
      </c>
      <c r="N142" s="33">
        <v>0</v>
      </c>
      <c r="O142" s="33">
        <v>0</v>
      </c>
      <c r="P142" s="40">
        <v>1</v>
      </c>
      <c r="Q142" s="40">
        <v>1</v>
      </c>
      <c r="R142" s="40">
        <v>1</v>
      </c>
      <c r="S142" s="33">
        <v>0</v>
      </c>
      <c r="T142" s="33">
        <v>0</v>
      </c>
      <c r="U142" s="33">
        <v>0</v>
      </c>
      <c r="V142" s="43">
        <v>4</v>
      </c>
      <c r="W142" s="45">
        <v>5</v>
      </c>
      <c r="X142" s="33">
        <v>4</v>
      </c>
      <c r="Y142" s="38" t="s">
        <v>38</v>
      </c>
    </row>
    <row r="143" ht="15" customHeight="1" spans="1:25">
      <c r="A143" s="51"/>
      <c r="B143" s="33">
        <v>142</v>
      </c>
      <c r="C143" s="34" t="s">
        <v>25</v>
      </c>
      <c r="D143" s="33">
        <v>0.85</v>
      </c>
      <c r="E143" s="35"/>
      <c r="F143" s="35"/>
      <c r="G143" s="40">
        <v>1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3">
        <v>0</v>
      </c>
      <c r="O143" s="33">
        <v>0</v>
      </c>
      <c r="P143" s="40">
        <v>1</v>
      </c>
      <c r="Q143" s="40">
        <v>1</v>
      </c>
      <c r="R143" s="33">
        <v>0</v>
      </c>
      <c r="S143" s="40">
        <v>1</v>
      </c>
      <c r="T143" s="33">
        <v>1</v>
      </c>
      <c r="U143" s="33">
        <v>1</v>
      </c>
      <c r="V143" s="43">
        <v>4</v>
      </c>
      <c r="W143" s="43">
        <v>4</v>
      </c>
      <c r="X143" s="33">
        <v>6</v>
      </c>
      <c r="Y143" s="38" t="s">
        <v>42</v>
      </c>
    </row>
    <row r="144" ht="15" customHeight="1" spans="1:25">
      <c r="A144" s="51"/>
      <c r="B144" s="33">
        <v>143</v>
      </c>
      <c r="C144" s="34" t="s">
        <v>25</v>
      </c>
      <c r="D144" s="33">
        <v>0.85</v>
      </c>
      <c r="E144" s="35"/>
      <c r="F144" s="35"/>
      <c r="G144" s="40">
        <v>1</v>
      </c>
      <c r="H144" s="33">
        <v>0</v>
      </c>
      <c r="I144" s="40">
        <v>1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40">
        <v>1</v>
      </c>
      <c r="P144" s="33">
        <v>0</v>
      </c>
      <c r="Q144" s="33">
        <v>0</v>
      </c>
      <c r="R144" s="40">
        <v>1</v>
      </c>
      <c r="S144" s="33">
        <v>0</v>
      </c>
      <c r="T144" s="33">
        <v>0</v>
      </c>
      <c r="U144" s="33">
        <v>0</v>
      </c>
      <c r="V144" s="43">
        <v>4</v>
      </c>
      <c r="W144" s="43">
        <v>4</v>
      </c>
      <c r="X144" s="33">
        <v>6</v>
      </c>
      <c r="Y144" s="38" t="s">
        <v>42</v>
      </c>
    </row>
    <row r="145" ht="15" customHeight="1" spans="1:25">
      <c r="A145" s="51"/>
      <c r="B145" s="33">
        <v>144</v>
      </c>
      <c r="C145" s="34" t="s">
        <v>25</v>
      </c>
      <c r="D145" s="33">
        <v>0.85</v>
      </c>
      <c r="E145" s="35"/>
      <c r="F145" s="35"/>
      <c r="G145" s="33">
        <v>0</v>
      </c>
      <c r="H145" s="33">
        <v>0</v>
      </c>
      <c r="I145" s="33">
        <v>0</v>
      </c>
      <c r="J145" s="33">
        <v>0</v>
      </c>
      <c r="K145" s="48">
        <v>1</v>
      </c>
      <c r="L145" s="33">
        <v>0</v>
      </c>
      <c r="M145" s="40">
        <v>1</v>
      </c>
      <c r="N145" s="33">
        <v>0</v>
      </c>
      <c r="O145" s="40">
        <v>1</v>
      </c>
      <c r="P145" s="33">
        <v>0</v>
      </c>
      <c r="Q145" s="40">
        <v>1</v>
      </c>
      <c r="R145" s="33">
        <v>0</v>
      </c>
      <c r="S145" s="40">
        <v>1</v>
      </c>
      <c r="T145" s="33">
        <v>0</v>
      </c>
      <c r="U145" s="33">
        <v>1</v>
      </c>
      <c r="V145" s="43">
        <v>4</v>
      </c>
      <c r="W145" s="43">
        <v>4</v>
      </c>
      <c r="X145" s="33">
        <v>7</v>
      </c>
      <c r="Y145" s="38" t="s">
        <v>58</v>
      </c>
    </row>
    <row r="146" ht="15" customHeight="1" spans="1:25">
      <c r="A146" s="51"/>
      <c r="B146" s="33">
        <v>145</v>
      </c>
      <c r="C146" s="46" t="s">
        <v>32</v>
      </c>
      <c r="D146" s="33">
        <v>0.6</v>
      </c>
      <c r="E146" s="35"/>
      <c r="F146" s="35"/>
      <c r="G146" s="33">
        <v>0</v>
      </c>
      <c r="H146" s="33">
        <v>0</v>
      </c>
      <c r="I146" s="40">
        <v>1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40">
        <v>1</v>
      </c>
      <c r="P146" s="33">
        <v>0</v>
      </c>
      <c r="Q146" s="40">
        <v>1</v>
      </c>
      <c r="R146" s="40">
        <v>1</v>
      </c>
      <c r="S146" s="40">
        <v>1</v>
      </c>
      <c r="T146" s="33">
        <v>1</v>
      </c>
      <c r="U146" s="33">
        <v>1</v>
      </c>
      <c r="V146" s="45">
        <v>5</v>
      </c>
      <c r="W146" s="43">
        <v>4</v>
      </c>
      <c r="X146" s="33">
        <v>6</v>
      </c>
      <c r="Y146" s="38" t="s">
        <v>42</v>
      </c>
    </row>
    <row r="147" ht="15" customHeight="1" spans="1:25">
      <c r="A147" s="51"/>
      <c r="B147" s="33">
        <v>146</v>
      </c>
      <c r="C147" s="34" t="s">
        <v>25</v>
      </c>
      <c r="D147" s="33">
        <v>0.85</v>
      </c>
      <c r="E147" s="35"/>
      <c r="F147" s="35"/>
      <c r="G147" s="40">
        <v>1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40">
        <v>1</v>
      </c>
      <c r="O147" s="33">
        <v>0</v>
      </c>
      <c r="P147" s="33">
        <v>0</v>
      </c>
      <c r="Q147" s="40">
        <v>1</v>
      </c>
      <c r="R147" s="33">
        <v>0</v>
      </c>
      <c r="S147" s="33">
        <v>0</v>
      </c>
      <c r="T147" s="33">
        <v>0</v>
      </c>
      <c r="U147" s="33">
        <v>0</v>
      </c>
      <c r="V147" s="39">
        <v>3</v>
      </c>
      <c r="W147" s="45">
        <v>5</v>
      </c>
      <c r="X147" s="33">
        <v>4</v>
      </c>
      <c r="Y147" s="38" t="s">
        <v>38</v>
      </c>
    </row>
    <row r="148" ht="15" customHeight="1" spans="1:25">
      <c r="A148" s="51"/>
      <c r="B148" s="33">
        <v>147</v>
      </c>
      <c r="C148" s="47" t="s">
        <v>41</v>
      </c>
      <c r="D148" s="33">
        <v>0.4</v>
      </c>
      <c r="E148" s="35"/>
      <c r="F148" s="35"/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40">
        <v>1</v>
      </c>
      <c r="O148" s="40">
        <v>1</v>
      </c>
      <c r="P148" s="33">
        <v>0</v>
      </c>
      <c r="Q148" s="40">
        <v>1</v>
      </c>
      <c r="R148" s="40">
        <v>1</v>
      </c>
      <c r="S148" s="40">
        <v>1</v>
      </c>
      <c r="T148" s="33">
        <v>1</v>
      </c>
      <c r="U148" s="33">
        <v>1</v>
      </c>
      <c r="V148" s="45">
        <v>5</v>
      </c>
      <c r="W148" s="43">
        <v>4</v>
      </c>
      <c r="X148" s="33">
        <v>6</v>
      </c>
      <c r="Y148" s="38" t="s">
        <v>42</v>
      </c>
    </row>
    <row r="149" ht="15" customHeight="1" spans="1:25">
      <c r="A149" s="51"/>
      <c r="B149" s="33">
        <v>148</v>
      </c>
      <c r="C149" s="34" t="s">
        <v>25</v>
      </c>
      <c r="D149" s="33">
        <v>0.85</v>
      </c>
      <c r="E149" s="35"/>
      <c r="F149" s="35"/>
      <c r="G149" s="40">
        <v>1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3">
        <v>0</v>
      </c>
      <c r="O149" s="33">
        <v>0</v>
      </c>
      <c r="P149" s="40">
        <v>1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7">
        <v>2</v>
      </c>
      <c r="W149" s="45">
        <v>5</v>
      </c>
      <c r="X149" s="33">
        <v>5</v>
      </c>
      <c r="Y149" s="38" t="s">
        <v>40</v>
      </c>
    </row>
    <row r="150" ht="15" customHeight="1" spans="1:25">
      <c r="A150" s="51"/>
      <c r="B150" s="33">
        <v>149</v>
      </c>
      <c r="C150" s="34" t="s">
        <v>25</v>
      </c>
      <c r="D150" s="33">
        <v>0.85</v>
      </c>
      <c r="E150" s="35"/>
      <c r="F150" s="35"/>
      <c r="G150" s="33">
        <v>0</v>
      </c>
      <c r="H150" s="33">
        <v>0</v>
      </c>
      <c r="I150" s="40">
        <v>1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40">
        <v>1</v>
      </c>
      <c r="P150" s="40">
        <v>1</v>
      </c>
      <c r="Q150" s="33">
        <v>0</v>
      </c>
      <c r="R150" s="40">
        <v>1</v>
      </c>
      <c r="S150" s="33">
        <v>0</v>
      </c>
      <c r="T150" s="33">
        <v>0</v>
      </c>
      <c r="U150" s="33">
        <v>0</v>
      </c>
      <c r="V150" s="43">
        <v>4</v>
      </c>
      <c r="W150" s="43">
        <v>4</v>
      </c>
      <c r="X150" s="33">
        <v>6</v>
      </c>
      <c r="Y150" s="38" t="s">
        <v>42</v>
      </c>
    </row>
    <row r="151" ht="15" customHeight="1" spans="1:25">
      <c r="A151" s="51"/>
      <c r="B151" s="33">
        <v>150</v>
      </c>
      <c r="C151" s="34" t="s">
        <v>25</v>
      </c>
      <c r="D151" s="33">
        <v>0.85</v>
      </c>
      <c r="E151" s="35"/>
      <c r="F151" s="35"/>
      <c r="G151" s="40">
        <v>1</v>
      </c>
      <c r="H151" s="33">
        <v>0</v>
      </c>
      <c r="I151" s="33">
        <v>0</v>
      </c>
      <c r="J151" s="48">
        <v>1</v>
      </c>
      <c r="K151" s="48">
        <v>1</v>
      </c>
      <c r="L151" s="33">
        <v>0</v>
      </c>
      <c r="M151" s="40">
        <v>1</v>
      </c>
      <c r="N151" s="33">
        <v>0</v>
      </c>
      <c r="O151" s="33">
        <v>0</v>
      </c>
      <c r="P151" s="33">
        <v>0</v>
      </c>
      <c r="Q151" s="40">
        <v>1</v>
      </c>
      <c r="R151" s="33">
        <v>0</v>
      </c>
      <c r="S151" s="40">
        <v>1</v>
      </c>
      <c r="T151" s="33">
        <v>1</v>
      </c>
      <c r="U151" s="33">
        <v>1</v>
      </c>
      <c r="V151" s="43">
        <v>4</v>
      </c>
      <c r="W151" s="43">
        <v>4</v>
      </c>
      <c r="X151" s="33">
        <v>7</v>
      </c>
      <c r="Y151" s="38" t="s">
        <v>58</v>
      </c>
    </row>
    <row r="152" ht="15" customHeight="1" spans="1:25">
      <c r="A152" s="51"/>
      <c r="B152" s="33">
        <v>151</v>
      </c>
      <c r="C152" s="46" t="s">
        <v>32</v>
      </c>
      <c r="D152" s="33">
        <v>0.6</v>
      </c>
      <c r="E152" s="35"/>
      <c r="F152" s="35"/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48">
        <v>1</v>
      </c>
      <c r="M152" s="40">
        <v>1</v>
      </c>
      <c r="N152" s="40">
        <v>1</v>
      </c>
      <c r="O152" s="33">
        <v>0</v>
      </c>
      <c r="P152" s="33">
        <v>0</v>
      </c>
      <c r="Q152" s="33">
        <v>0</v>
      </c>
      <c r="R152" s="40">
        <v>1</v>
      </c>
      <c r="S152" s="33">
        <v>0</v>
      </c>
      <c r="T152" s="33">
        <v>0</v>
      </c>
      <c r="U152" s="33">
        <v>0</v>
      </c>
      <c r="V152" s="39">
        <v>3</v>
      </c>
      <c r="W152" s="45">
        <v>5</v>
      </c>
      <c r="X152" s="33">
        <v>6</v>
      </c>
      <c r="Y152" s="38" t="s">
        <v>42</v>
      </c>
    </row>
    <row r="153" ht="15" customHeight="1" spans="1:25">
      <c r="A153" s="51"/>
      <c r="B153" s="33">
        <v>152</v>
      </c>
      <c r="C153" s="34" t="s">
        <v>25</v>
      </c>
      <c r="D153" s="33">
        <v>0.85</v>
      </c>
      <c r="E153" s="35"/>
      <c r="F153" s="35"/>
      <c r="G153" s="33">
        <v>0</v>
      </c>
      <c r="H153" s="40">
        <v>1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40">
        <v>1</v>
      </c>
      <c r="O153" s="40">
        <v>1</v>
      </c>
      <c r="P153" s="33">
        <v>0</v>
      </c>
      <c r="Q153" s="40">
        <v>1</v>
      </c>
      <c r="R153" s="40">
        <v>1</v>
      </c>
      <c r="S153" s="33">
        <v>0</v>
      </c>
      <c r="T153" s="33">
        <v>0</v>
      </c>
      <c r="U153" s="33">
        <v>0</v>
      </c>
      <c r="V153" s="43">
        <v>4</v>
      </c>
      <c r="W153" s="43">
        <v>4</v>
      </c>
      <c r="X153" s="33">
        <v>4</v>
      </c>
      <c r="Y153" s="38" t="s">
        <v>38</v>
      </c>
    </row>
    <row r="154" ht="15" customHeight="1" spans="1:25">
      <c r="A154" s="51"/>
      <c r="B154" s="33">
        <v>153</v>
      </c>
      <c r="C154" s="34" t="s">
        <v>25</v>
      </c>
      <c r="D154" s="33">
        <v>0.85</v>
      </c>
      <c r="E154" s="35"/>
      <c r="F154" s="35"/>
      <c r="G154" s="40">
        <v>1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40">
        <v>1</v>
      </c>
      <c r="R154" s="33">
        <v>0</v>
      </c>
      <c r="S154" s="33">
        <v>0</v>
      </c>
      <c r="T154" s="33">
        <v>0</v>
      </c>
      <c r="U154" s="33">
        <v>0</v>
      </c>
      <c r="V154" s="37">
        <v>2</v>
      </c>
      <c r="W154" s="45">
        <v>5</v>
      </c>
      <c r="X154" s="33">
        <v>6</v>
      </c>
      <c r="Y154" s="38" t="s">
        <v>42</v>
      </c>
    </row>
    <row r="155" ht="15" customHeight="1" spans="1:25">
      <c r="A155" s="51"/>
      <c r="B155" s="33">
        <v>154</v>
      </c>
      <c r="C155" s="47" t="s">
        <v>41</v>
      </c>
      <c r="D155" s="33">
        <v>0.4</v>
      </c>
      <c r="E155" s="35"/>
      <c r="F155" s="35"/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40">
        <v>1</v>
      </c>
      <c r="P155" s="40">
        <v>1</v>
      </c>
      <c r="Q155" s="33">
        <v>0</v>
      </c>
      <c r="R155" s="33">
        <v>0</v>
      </c>
      <c r="S155" s="40">
        <v>1</v>
      </c>
      <c r="T155" s="33">
        <v>0</v>
      </c>
      <c r="U155" s="33">
        <v>1</v>
      </c>
      <c r="V155" s="39">
        <v>3</v>
      </c>
      <c r="W155" s="45">
        <v>5</v>
      </c>
      <c r="X155" s="33">
        <v>5</v>
      </c>
      <c r="Y155" s="38" t="s">
        <v>40</v>
      </c>
    </row>
    <row r="156" ht="15" customHeight="1" spans="1:25">
      <c r="A156" s="51"/>
      <c r="B156" s="33">
        <v>155</v>
      </c>
      <c r="C156" s="34" t="s">
        <v>25</v>
      </c>
      <c r="D156" s="33">
        <v>0.85</v>
      </c>
      <c r="E156" s="35"/>
      <c r="F156" s="35"/>
      <c r="G156" s="40">
        <v>1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40">
        <v>1</v>
      </c>
      <c r="T156" s="33">
        <v>1</v>
      </c>
      <c r="U156" s="33">
        <v>1</v>
      </c>
      <c r="V156" s="37">
        <v>2</v>
      </c>
      <c r="W156" s="43">
        <v>4</v>
      </c>
      <c r="X156" s="33">
        <v>6</v>
      </c>
      <c r="Y156" s="38" t="s">
        <v>42</v>
      </c>
    </row>
    <row r="157" ht="15" customHeight="1" spans="1:25">
      <c r="A157" s="51"/>
      <c r="B157" s="33">
        <v>156</v>
      </c>
      <c r="C157" s="34" t="s">
        <v>25</v>
      </c>
      <c r="D157" s="33">
        <v>0.85</v>
      </c>
      <c r="E157" s="35"/>
      <c r="F157" s="35"/>
      <c r="G157" s="33">
        <v>0</v>
      </c>
      <c r="H157" s="33">
        <v>0</v>
      </c>
      <c r="I157" s="40">
        <v>1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40">
        <v>1</v>
      </c>
      <c r="Q157" s="33">
        <v>0</v>
      </c>
      <c r="R157" s="40">
        <v>1</v>
      </c>
      <c r="S157" s="33">
        <v>0</v>
      </c>
      <c r="T157" s="33">
        <v>0</v>
      </c>
      <c r="U157" s="33">
        <v>0</v>
      </c>
      <c r="V157" s="39">
        <v>3</v>
      </c>
      <c r="W157" s="43">
        <v>4</v>
      </c>
      <c r="X157" s="33">
        <v>7</v>
      </c>
      <c r="Y157" s="38" t="s">
        <v>58</v>
      </c>
    </row>
    <row r="158" ht="15" customHeight="1" spans="1:25">
      <c r="A158" s="51"/>
      <c r="B158" s="33">
        <v>157</v>
      </c>
      <c r="C158" s="34" t="s">
        <v>25</v>
      </c>
      <c r="D158" s="33">
        <v>0.85</v>
      </c>
      <c r="E158" s="35"/>
      <c r="F158" s="35"/>
      <c r="G158" s="33">
        <v>0</v>
      </c>
      <c r="H158" s="33">
        <v>0</v>
      </c>
      <c r="I158" s="33">
        <v>0</v>
      </c>
      <c r="J158" s="33">
        <v>0</v>
      </c>
      <c r="K158" s="48">
        <v>1</v>
      </c>
      <c r="L158" s="33">
        <v>0</v>
      </c>
      <c r="M158" s="40">
        <v>1</v>
      </c>
      <c r="N158" s="33">
        <v>0</v>
      </c>
      <c r="O158" s="40">
        <v>1</v>
      </c>
      <c r="P158" s="33">
        <v>0</v>
      </c>
      <c r="Q158" s="33">
        <v>0</v>
      </c>
      <c r="R158" s="40">
        <v>1</v>
      </c>
      <c r="S158" s="40">
        <v>1</v>
      </c>
      <c r="T158" s="33">
        <v>1</v>
      </c>
      <c r="U158" s="33">
        <v>1</v>
      </c>
      <c r="V158" s="43">
        <v>4</v>
      </c>
      <c r="W158" s="43">
        <v>4</v>
      </c>
      <c r="X158" s="33">
        <v>6</v>
      </c>
      <c r="Y158" s="38" t="s">
        <v>42</v>
      </c>
    </row>
    <row r="159" ht="15" customHeight="1" spans="1:25">
      <c r="A159" s="51"/>
      <c r="B159" s="33">
        <v>158</v>
      </c>
      <c r="C159" s="34" t="s">
        <v>25</v>
      </c>
      <c r="D159" s="33">
        <v>0.85</v>
      </c>
      <c r="E159" s="35"/>
      <c r="F159" s="35"/>
      <c r="G159" s="40">
        <v>1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40">
        <v>1</v>
      </c>
      <c r="R159" s="33">
        <v>0</v>
      </c>
      <c r="S159" s="40">
        <v>1</v>
      </c>
      <c r="T159" s="33">
        <v>1</v>
      </c>
      <c r="U159" s="33">
        <v>1</v>
      </c>
      <c r="V159" s="39">
        <v>3</v>
      </c>
      <c r="W159" s="43">
        <v>4</v>
      </c>
      <c r="X159" s="33">
        <v>4</v>
      </c>
      <c r="Y159" s="38" t="s">
        <v>38</v>
      </c>
    </row>
    <row r="160" ht="15" customHeight="1" spans="1:25">
      <c r="A160" s="51"/>
      <c r="B160" s="33">
        <v>159</v>
      </c>
      <c r="C160" s="46" t="s">
        <v>32</v>
      </c>
      <c r="D160" s="33">
        <v>0.6</v>
      </c>
      <c r="E160" s="35"/>
      <c r="F160" s="35"/>
      <c r="G160" s="40">
        <v>1</v>
      </c>
      <c r="H160" s="40">
        <v>1</v>
      </c>
      <c r="I160" s="33">
        <v>0</v>
      </c>
      <c r="J160" s="33">
        <v>0</v>
      </c>
      <c r="K160" s="48">
        <v>1</v>
      </c>
      <c r="L160" s="33">
        <v>0</v>
      </c>
      <c r="M160" s="40">
        <v>1</v>
      </c>
      <c r="N160" s="33">
        <v>0</v>
      </c>
      <c r="O160" s="33">
        <v>0</v>
      </c>
      <c r="P160" s="33">
        <v>0</v>
      </c>
      <c r="Q160" s="33">
        <v>0</v>
      </c>
      <c r="R160" s="40">
        <v>1</v>
      </c>
      <c r="S160" s="40">
        <v>1</v>
      </c>
      <c r="T160" s="33">
        <v>1</v>
      </c>
      <c r="U160" s="33">
        <v>1</v>
      </c>
      <c r="V160" s="43">
        <v>4</v>
      </c>
      <c r="W160" s="45">
        <v>5</v>
      </c>
      <c r="X160" s="33">
        <v>6</v>
      </c>
      <c r="Y160" s="38" t="s">
        <v>42</v>
      </c>
    </row>
    <row r="161" ht="15" customHeight="1" spans="1:25">
      <c r="A161" s="51"/>
      <c r="B161" s="33">
        <v>160</v>
      </c>
      <c r="C161" s="34" t="s">
        <v>25</v>
      </c>
      <c r="D161" s="33">
        <v>0.85</v>
      </c>
      <c r="E161" s="35"/>
      <c r="F161" s="35"/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40">
        <v>1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41">
        <v>1</v>
      </c>
      <c r="W161" s="45">
        <v>5</v>
      </c>
      <c r="X161" s="33">
        <v>5</v>
      </c>
      <c r="Y161" s="38" t="s">
        <v>40</v>
      </c>
    </row>
    <row r="162" ht="15" customHeight="1" spans="1:25">
      <c r="A162" s="51"/>
      <c r="B162" s="33">
        <v>161</v>
      </c>
      <c r="C162" s="47" t="s">
        <v>41</v>
      </c>
      <c r="D162" s="33">
        <v>0.4</v>
      </c>
      <c r="E162" s="35"/>
      <c r="F162" s="35"/>
      <c r="G162" s="33">
        <v>0</v>
      </c>
      <c r="H162" s="33">
        <v>0</v>
      </c>
      <c r="I162" s="40">
        <v>1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40">
        <v>1</v>
      </c>
      <c r="Q162" s="40">
        <v>1</v>
      </c>
      <c r="R162" s="40">
        <v>1</v>
      </c>
      <c r="S162" s="40">
        <v>1</v>
      </c>
      <c r="T162" s="33">
        <v>1</v>
      </c>
      <c r="U162" s="33">
        <v>1</v>
      </c>
      <c r="V162" s="45">
        <v>5</v>
      </c>
      <c r="W162" s="43">
        <v>4</v>
      </c>
      <c r="X162" s="33">
        <v>3</v>
      </c>
      <c r="Y162" s="38" t="s">
        <v>36</v>
      </c>
    </row>
    <row r="163" ht="15" customHeight="1" spans="1:25">
      <c r="A163" s="51"/>
      <c r="B163" s="33">
        <v>162</v>
      </c>
      <c r="C163" s="46" t="s">
        <v>32</v>
      </c>
      <c r="D163" s="33">
        <v>0.6</v>
      </c>
      <c r="E163" s="35"/>
      <c r="F163" s="35"/>
      <c r="G163" s="40">
        <v>1</v>
      </c>
      <c r="H163" s="33">
        <v>0</v>
      </c>
      <c r="I163" s="33">
        <v>0</v>
      </c>
      <c r="J163" s="33">
        <v>0</v>
      </c>
      <c r="K163" s="33">
        <v>0</v>
      </c>
      <c r="L163" s="48">
        <v>1</v>
      </c>
      <c r="M163" s="40">
        <v>1</v>
      </c>
      <c r="N163" s="33">
        <v>0</v>
      </c>
      <c r="O163" s="33">
        <v>0</v>
      </c>
      <c r="P163" s="33">
        <v>0</v>
      </c>
      <c r="Q163" s="33">
        <v>0</v>
      </c>
      <c r="R163" s="40">
        <v>1</v>
      </c>
      <c r="S163" s="33">
        <v>0</v>
      </c>
      <c r="T163" s="33">
        <v>0</v>
      </c>
      <c r="U163" s="33">
        <v>0</v>
      </c>
      <c r="V163" s="39">
        <v>3</v>
      </c>
      <c r="W163" s="45">
        <v>5</v>
      </c>
      <c r="X163" s="33">
        <v>6</v>
      </c>
      <c r="Y163" s="38" t="s">
        <v>42</v>
      </c>
    </row>
    <row r="164" ht="15" customHeight="1" spans="1:25">
      <c r="A164" s="51"/>
      <c r="B164" s="33">
        <v>163</v>
      </c>
      <c r="C164" s="34" t="s">
        <v>25</v>
      </c>
      <c r="D164" s="33">
        <v>0.85</v>
      </c>
      <c r="E164" s="35"/>
      <c r="F164" s="35"/>
      <c r="G164" s="40">
        <v>1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40">
        <v>1</v>
      </c>
      <c r="O164" s="33">
        <v>0</v>
      </c>
      <c r="P164" s="40">
        <v>1</v>
      </c>
      <c r="Q164" s="33">
        <v>0</v>
      </c>
      <c r="R164" s="33">
        <v>0</v>
      </c>
      <c r="S164" s="40">
        <v>1</v>
      </c>
      <c r="T164" s="33">
        <v>1</v>
      </c>
      <c r="U164" s="33">
        <v>1</v>
      </c>
      <c r="V164" s="43">
        <v>4</v>
      </c>
      <c r="W164" s="43">
        <v>4</v>
      </c>
      <c r="X164" s="33">
        <v>3</v>
      </c>
      <c r="Y164" s="38" t="s">
        <v>36</v>
      </c>
    </row>
    <row r="165" ht="15" customHeight="1" spans="1:25">
      <c r="A165" s="51"/>
      <c r="B165" s="33">
        <v>164</v>
      </c>
      <c r="C165" s="34" t="s">
        <v>25</v>
      </c>
      <c r="D165" s="33">
        <v>0.85</v>
      </c>
      <c r="E165" s="35"/>
      <c r="F165" s="35"/>
      <c r="G165" s="33">
        <v>0</v>
      </c>
      <c r="H165" s="40">
        <v>1</v>
      </c>
      <c r="I165" s="33">
        <v>0</v>
      </c>
      <c r="J165" s="33">
        <v>0</v>
      </c>
      <c r="K165" s="48">
        <v>1</v>
      </c>
      <c r="L165" s="33">
        <v>0</v>
      </c>
      <c r="M165" s="40">
        <v>1</v>
      </c>
      <c r="N165" s="33">
        <v>0</v>
      </c>
      <c r="O165" s="40">
        <v>1</v>
      </c>
      <c r="P165" s="33">
        <v>0</v>
      </c>
      <c r="Q165" s="33">
        <v>0</v>
      </c>
      <c r="R165" s="40">
        <v>1</v>
      </c>
      <c r="S165" s="40">
        <v>1</v>
      </c>
      <c r="T165" s="33">
        <v>1</v>
      </c>
      <c r="U165" s="33">
        <v>0</v>
      </c>
      <c r="V165" s="43">
        <v>4</v>
      </c>
      <c r="W165" s="43">
        <v>4</v>
      </c>
      <c r="X165" s="33">
        <v>4</v>
      </c>
      <c r="Y165" s="38" t="s">
        <v>38</v>
      </c>
    </row>
    <row r="166" ht="15" customHeight="1" spans="1:25">
      <c r="A166" s="51"/>
      <c r="B166" s="33">
        <v>165</v>
      </c>
      <c r="C166" s="34" t="s">
        <v>25</v>
      </c>
      <c r="D166" s="33">
        <v>0.85</v>
      </c>
      <c r="E166" s="35"/>
      <c r="F166" s="35"/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40">
        <v>1</v>
      </c>
      <c r="O166" s="33">
        <v>0</v>
      </c>
      <c r="P166" s="33">
        <v>0</v>
      </c>
      <c r="Q166" s="40">
        <v>1</v>
      </c>
      <c r="R166" s="40">
        <v>1</v>
      </c>
      <c r="S166" s="33">
        <v>0</v>
      </c>
      <c r="T166" s="33">
        <v>0</v>
      </c>
      <c r="U166" s="33">
        <v>0</v>
      </c>
      <c r="V166" s="39">
        <v>3</v>
      </c>
      <c r="W166" s="43">
        <v>4</v>
      </c>
      <c r="X166" s="33">
        <v>7</v>
      </c>
      <c r="Y166" s="38" t="s">
        <v>58</v>
      </c>
    </row>
    <row r="167" ht="15" customHeight="1" spans="1:25">
      <c r="A167" s="51"/>
      <c r="B167" s="33">
        <v>166</v>
      </c>
      <c r="C167" s="46" t="s">
        <v>32</v>
      </c>
      <c r="D167" s="33">
        <v>0.6</v>
      </c>
      <c r="E167" s="35"/>
      <c r="F167" s="35"/>
      <c r="G167" s="40">
        <v>1</v>
      </c>
      <c r="H167" s="33">
        <v>0</v>
      </c>
      <c r="I167" s="40">
        <v>1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40">
        <v>1</v>
      </c>
      <c r="Q167" s="33">
        <v>0</v>
      </c>
      <c r="R167" s="40">
        <v>1</v>
      </c>
      <c r="S167" s="40">
        <v>1</v>
      </c>
      <c r="T167" s="33">
        <v>1</v>
      </c>
      <c r="U167" s="33">
        <v>1</v>
      </c>
      <c r="V167" s="45">
        <v>5</v>
      </c>
      <c r="W167" s="43">
        <v>4</v>
      </c>
      <c r="X167" s="33">
        <v>5</v>
      </c>
      <c r="Y167" s="38" t="s">
        <v>40</v>
      </c>
    </row>
    <row r="168" ht="15" customHeight="1" spans="1:25">
      <c r="A168" s="51"/>
      <c r="B168" s="33">
        <v>167</v>
      </c>
      <c r="C168" s="34" t="s">
        <v>25</v>
      </c>
      <c r="D168" s="33">
        <v>0.85</v>
      </c>
      <c r="E168" s="35"/>
      <c r="F168" s="35"/>
      <c r="G168" s="40">
        <v>1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40">
        <v>1</v>
      </c>
      <c r="P168" s="33">
        <v>0</v>
      </c>
      <c r="Q168" s="40">
        <v>1</v>
      </c>
      <c r="R168" s="33">
        <v>0</v>
      </c>
      <c r="S168" s="40">
        <v>1</v>
      </c>
      <c r="T168" s="33">
        <v>1</v>
      </c>
      <c r="U168" s="33">
        <v>1</v>
      </c>
      <c r="V168" s="43">
        <v>4</v>
      </c>
      <c r="W168" s="43">
        <v>4</v>
      </c>
      <c r="X168" s="33">
        <v>3</v>
      </c>
      <c r="Y168" s="38" t="s">
        <v>36</v>
      </c>
    </row>
    <row r="169" ht="15" customHeight="1" spans="1:25">
      <c r="A169" s="51"/>
      <c r="B169" s="33">
        <v>168</v>
      </c>
      <c r="C169" s="47" t="s">
        <v>41</v>
      </c>
      <c r="D169" s="33">
        <v>0.4</v>
      </c>
      <c r="E169" s="35"/>
      <c r="F169" s="35"/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40">
        <v>1</v>
      </c>
      <c r="O169" s="40">
        <v>1</v>
      </c>
      <c r="P169" s="33">
        <v>0</v>
      </c>
      <c r="Q169" s="33">
        <v>0</v>
      </c>
      <c r="R169" s="40">
        <v>1</v>
      </c>
      <c r="S169" s="40">
        <v>1</v>
      </c>
      <c r="T169" s="33">
        <v>0</v>
      </c>
      <c r="U169" s="33">
        <v>1</v>
      </c>
      <c r="V169" s="43">
        <v>4</v>
      </c>
      <c r="W169" s="45">
        <v>5</v>
      </c>
      <c r="X169" s="33">
        <v>6</v>
      </c>
      <c r="Y169" s="38" t="s">
        <v>42</v>
      </c>
    </row>
    <row r="170" ht="15" customHeight="1" spans="1:25">
      <c r="A170" s="51"/>
      <c r="B170" s="33">
        <v>169</v>
      </c>
      <c r="C170" s="34" t="s">
        <v>25</v>
      </c>
      <c r="D170" s="33">
        <v>0.85</v>
      </c>
      <c r="E170" s="35"/>
      <c r="F170" s="35"/>
      <c r="G170" s="33">
        <v>0</v>
      </c>
      <c r="H170" s="33">
        <v>0</v>
      </c>
      <c r="I170" s="33">
        <v>0</v>
      </c>
      <c r="J170" s="48">
        <v>1</v>
      </c>
      <c r="K170" s="33">
        <v>0</v>
      </c>
      <c r="L170" s="33">
        <v>0</v>
      </c>
      <c r="M170" s="40">
        <v>1</v>
      </c>
      <c r="N170" s="33">
        <v>0</v>
      </c>
      <c r="O170" s="33">
        <v>0</v>
      </c>
      <c r="P170" s="33">
        <v>0</v>
      </c>
      <c r="Q170" s="40">
        <v>1</v>
      </c>
      <c r="R170" s="40">
        <v>1</v>
      </c>
      <c r="S170" s="40">
        <v>1</v>
      </c>
      <c r="T170" s="33">
        <v>0</v>
      </c>
      <c r="U170" s="33">
        <v>1</v>
      </c>
      <c r="V170" s="43">
        <v>4</v>
      </c>
      <c r="W170" s="43">
        <v>4</v>
      </c>
      <c r="X170" s="33">
        <v>3</v>
      </c>
      <c r="Y170" s="38" t="s">
        <v>36</v>
      </c>
    </row>
    <row r="171" ht="15" customHeight="1" spans="1:25">
      <c r="A171" s="51"/>
      <c r="B171" s="33">
        <v>170</v>
      </c>
      <c r="C171" s="34" t="s">
        <v>25</v>
      </c>
      <c r="D171" s="33">
        <v>0.85</v>
      </c>
      <c r="E171" s="35"/>
      <c r="F171" s="35"/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40">
        <v>1</v>
      </c>
      <c r="P171" s="40">
        <v>1</v>
      </c>
      <c r="Q171" s="33">
        <v>0</v>
      </c>
      <c r="R171" s="40">
        <v>1</v>
      </c>
      <c r="S171" s="33">
        <v>0</v>
      </c>
      <c r="T171" s="33">
        <v>0</v>
      </c>
      <c r="U171" s="33">
        <v>0</v>
      </c>
      <c r="V171" s="39">
        <v>3</v>
      </c>
      <c r="W171" s="43">
        <v>4</v>
      </c>
      <c r="X171" s="33">
        <v>4</v>
      </c>
      <c r="Y171" s="38" t="s">
        <v>38</v>
      </c>
    </row>
    <row r="172" ht="15" customHeight="1" spans="1:25">
      <c r="A172" s="51"/>
      <c r="B172" s="33">
        <v>171</v>
      </c>
      <c r="C172" s="34" t="s">
        <v>25</v>
      </c>
      <c r="D172" s="33">
        <v>0.85</v>
      </c>
      <c r="E172" s="35"/>
      <c r="F172" s="35"/>
      <c r="G172" s="33">
        <v>0</v>
      </c>
      <c r="H172" s="40">
        <v>1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40">
        <v>1</v>
      </c>
      <c r="O172" s="33">
        <v>0</v>
      </c>
      <c r="P172" s="33">
        <v>0</v>
      </c>
      <c r="Q172" s="40">
        <v>1</v>
      </c>
      <c r="R172" s="33">
        <v>0</v>
      </c>
      <c r="S172" s="40">
        <v>1</v>
      </c>
      <c r="T172" s="33">
        <v>0</v>
      </c>
      <c r="U172" s="33">
        <v>1</v>
      </c>
      <c r="V172" s="39">
        <v>3</v>
      </c>
      <c r="W172" s="43">
        <v>4</v>
      </c>
      <c r="X172" s="33">
        <v>6</v>
      </c>
      <c r="Y172" s="38" t="s">
        <v>42</v>
      </c>
    </row>
    <row r="173" ht="15" customHeight="1" spans="1:25">
      <c r="A173" s="51"/>
      <c r="B173" s="33">
        <v>172</v>
      </c>
      <c r="C173" s="34" t="s">
        <v>25</v>
      </c>
      <c r="D173" s="33">
        <v>0.85</v>
      </c>
      <c r="E173" s="35"/>
      <c r="F173" s="35"/>
      <c r="G173" s="33">
        <v>0</v>
      </c>
      <c r="H173" s="33">
        <v>0</v>
      </c>
      <c r="I173" s="40">
        <v>1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40">
        <v>1</v>
      </c>
      <c r="P173" s="40">
        <v>1</v>
      </c>
      <c r="Q173" s="33">
        <v>0</v>
      </c>
      <c r="R173" s="40">
        <v>1</v>
      </c>
      <c r="S173" s="40">
        <v>1</v>
      </c>
      <c r="T173" s="33">
        <v>0</v>
      </c>
      <c r="U173" s="33">
        <v>1</v>
      </c>
      <c r="V173" s="45">
        <v>5</v>
      </c>
      <c r="W173" s="43">
        <v>4</v>
      </c>
      <c r="X173" s="33">
        <v>5</v>
      </c>
      <c r="Y173" s="38" t="s">
        <v>40</v>
      </c>
    </row>
    <row r="174" ht="15" customHeight="1" spans="1:25">
      <c r="A174" s="51"/>
      <c r="B174" s="33">
        <v>173</v>
      </c>
      <c r="C174" s="46" t="s">
        <v>32</v>
      </c>
      <c r="D174" s="33">
        <v>0.6</v>
      </c>
      <c r="E174" s="35"/>
      <c r="F174" s="35"/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40">
        <v>1</v>
      </c>
      <c r="O174" s="33">
        <v>0</v>
      </c>
      <c r="P174" s="33">
        <v>0</v>
      </c>
      <c r="Q174" s="33">
        <v>0</v>
      </c>
      <c r="R174" s="33">
        <v>0</v>
      </c>
      <c r="S174" s="40">
        <v>1</v>
      </c>
      <c r="T174" s="33">
        <v>0</v>
      </c>
      <c r="U174" s="33">
        <v>1</v>
      </c>
      <c r="V174" s="37">
        <v>2</v>
      </c>
      <c r="W174" s="45">
        <v>5</v>
      </c>
      <c r="X174" s="33">
        <v>3</v>
      </c>
      <c r="Y174" s="38" t="s">
        <v>36</v>
      </c>
    </row>
    <row r="175" ht="15" customHeight="1" spans="1:25">
      <c r="A175" s="51"/>
      <c r="B175" s="33">
        <v>174</v>
      </c>
      <c r="C175" s="46" t="s">
        <v>32</v>
      </c>
      <c r="D175" s="33">
        <v>0.6</v>
      </c>
      <c r="E175" s="35"/>
      <c r="F175" s="35"/>
      <c r="G175" s="33">
        <v>0</v>
      </c>
      <c r="H175" s="33">
        <v>0</v>
      </c>
      <c r="I175" s="40">
        <v>1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40">
        <v>1</v>
      </c>
      <c r="P175" s="40">
        <v>1</v>
      </c>
      <c r="Q175" s="33">
        <v>0</v>
      </c>
      <c r="R175" s="40">
        <v>1</v>
      </c>
      <c r="S175" s="33">
        <v>0</v>
      </c>
      <c r="T175" s="33">
        <v>0</v>
      </c>
      <c r="U175" s="33">
        <v>0</v>
      </c>
      <c r="V175" s="43">
        <v>4</v>
      </c>
      <c r="W175" s="45">
        <v>5</v>
      </c>
      <c r="X175" s="33">
        <v>6</v>
      </c>
      <c r="Y175" s="38" t="s">
        <v>42</v>
      </c>
    </row>
    <row r="176" ht="15" customHeight="1" spans="1:25">
      <c r="A176" s="51"/>
      <c r="B176" s="33">
        <v>175</v>
      </c>
      <c r="C176" s="34" t="s">
        <v>25</v>
      </c>
      <c r="D176" s="33">
        <v>0.85</v>
      </c>
      <c r="E176" s="35"/>
      <c r="F176" s="35"/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48">
        <v>1</v>
      </c>
      <c r="M176" s="40">
        <v>1</v>
      </c>
      <c r="N176" s="33">
        <v>0</v>
      </c>
      <c r="O176" s="33">
        <v>0</v>
      </c>
      <c r="P176" s="33">
        <v>0</v>
      </c>
      <c r="Q176" s="40">
        <v>1</v>
      </c>
      <c r="R176" s="40">
        <v>1</v>
      </c>
      <c r="S176" s="40">
        <v>1</v>
      </c>
      <c r="T176" s="33">
        <v>0</v>
      </c>
      <c r="U176" s="33">
        <v>1</v>
      </c>
      <c r="V176" s="43">
        <v>4</v>
      </c>
      <c r="W176" s="43">
        <v>4</v>
      </c>
      <c r="X176" s="33">
        <v>7</v>
      </c>
      <c r="Y176" s="38" t="s">
        <v>58</v>
      </c>
    </row>
    <row r="177" ht="15" customHeight="1" spans="1:25">
      <c r="A177" s="51"/>
      <c r="B177" s="33">
        <v>176</v>
      </c>
      <c r="C177" s="34" t="s">
        <v>25</v>
      </c>
      <c r="D177" s="33">
        <v>0.85</v>
      </c>
      <c r="E177" s="35"/>
      <c r="F177" s="35"/>
      <c r="G177" s="40">
        <v>1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40">
        <v>1</v>
      </c>
      <c r="Q177" s="33">
        <v>0</v>
      </c>
      <c r="R177" s="40">
        <v>1</v>
      </c>
      <c r="S177" s="40">
        <v>1</v>
      </c>
      <c r="T177" s="33">
        <v>0</v>
      </c>
      <c r="U177" s="33">
        <v>1</v>
      </c>
      <c r="V177" s="43">
        <v>4</v>
      </c>
      <c r="W177" s="43">
        <v>4</v>
      </c>
      <c r="X177" s="33">
        <v>4</v>
      </c>
      <c r="Y177" s="38" t="s">
        <v>38</v>
      </c>
    </row>
    <row r="178" ht="15" customHeight="1" spans="1:25">
      <c r="A178" s="51"/>
      <c r="B178" s="33">
        <v>177</v>
      </c>
      <c r="C178" s="34" t="s">
        <v>25</v>
      </c>
      <c r="D178" s="33">
        <v>0.85</v>
      </c>
      <c r="E178" s="35"/>
      <c r="F178" s="35"/>
      <c r="G178" s="40">
        <v>1</v>
      </c>
      <c r="H178" s="33">
        <v>0</v>
      </c>
      <c r="I178" s="40">
        <v>1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40">
        <v>1</v>
      </c>
      <c r="P178" s="33">
        <v>0</v>
      </c>
      <c r="Q178" s="40">
        <v>1</v>
      </c>
      <c r="R178" s="33">
        <v>0</v>
      </c>
      <c r="S178" s="40">
        <v>1</v>
      </c>
      <c r="T178" s="33">
        <v>0</v>
      </c>
      <c r="U178" s="33">
        <v>1</v>
      </c>
      <c r="V178" s="45">
        <v>5</v>
      </c>
      <c r="W178" s="43">
        <v>4</v>
      </c>
      <c r="X178" s="33">
        <v>6</v>
      </c>
      <c r="Y178" s="38" t="s">
        <v>42</v>
      </c>
    </row>
    <row r="179" ht="15" customHeight="1" spans="1:25">
      <c r="A179" s="51"/>
      <c r="B179" s="33">
        <v>178</v>
      </c>
      <c r="C179" s="47" t="s">
        <v>41</v>
      </c>
      <c r="D179" s="33">
        <v>0.4</v>
      </c>
      <c r="E179" s="35"/>
      <c r="F179" s="35"/>
      <c r="G179" s="33">
        <v>0</v>
      </c>
      <c r="H179" s="40">
        <v>1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40">
        <v>1</v>
      </c>
      <c r="P179" s="33">
        <v>0</v>
      </c>
      <c r="Q179" s="40">
        <v>1</v>
      </c>
      <c r="R179" s="40">
        <v>1</v>
      </c>
      <c r="S179" s="40">
        <v>1</v>
      </c>
      <c r="T179" s="33">
        <v>1</v>
      </c>
      <c r="U179" s="33">
        <v>1</v>
      </c>
      <c r="V179" s="43">
        <v>4</v>
      </c>
      <c r="W179" s="43">
        <v>4</v>
      </c>
      <c r="X179" s="33">
        <v>5</v>
      </c>
      <c r="Y179" s="38" t="s">
        <v>40</v>
      </c>
    </row>
    <row r="180" ht="15" customHeight="1" spans="1:25">
      <c r="A180" s="51"/>
      <c r="B180" s="33">
        <v>179</v>
      </c>
      <c r="C180" s="34" t="s">
        <v>25</v>
      </c>
      <c r="D180" s="33">
        <v>0.85</v>
      </c>
      <c r="E180" s="35"/>
      <c r="F180" s="35"/>
      <c r="G180" s="40">
        <v>1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40">
        <v>1</v>
      </c>
      <c r="S180" s="40">
        <v>1</v>
      </c>
      <c r="T180" s="33">
        <v>1</v>
      </c>
      <c r="U180" s="33">
        <v>1</v>
      </c>
      <c r="V180" s="39">
        <v>3</v>
      </c>
      <c r="W180" s="43">
        <v>4</v>
      </c>
      <c r="X180" s="33">
        <v>3</v>
      </c>
      <c r="Y180" s="38" t="s">
        <v>36</v>
      </c>
    </row>
    <row r="181" ht="15" customHeight="1" spans="1:25">
      <c r="A181" s="51"/>
      <c r="B181" s="33">
        <v>180</v>
      </c>
      <c r="C181" s="34" t="s">
        <v>25</v>
      </c>
      <c r="D181" s="33">
        <v>0.85</v>
      </c>
      <c r="E181" s="35"/>
      <c r="F181" s="35"/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40">
        <v>1</v>
      </c>
      <c r="P181" s="40">
        <v>1</v>
      </c>
      <c r="Q181" s="40">
        <v>1</v>
      </c>
      <c r="R181" s="33">
        <v>0</v>
      </c>
      <c r="S181" s="40">
        <v>1</v>
      </c>
      <c r="T181" s="33">
        <v>1</v>
      </c>
      <c r="U181" s="33">
        <v>1</v>
      </c>
      <c r="V181" s="43">
        <v>4</v>
      </c>
      <c r="W181" s="43">
        <v>4</v>
      </c>
      <c r="X181" s="33">
        <v>7</v>
      </c>
      <c r="Y181" s="38" t="s">
        <v>58</v>
      </c>
    </row>
    <row r="182" ht="15" customHeight="1" spans="1:25">
      <c r="A182" s="51"/>
      <c r="B182" s="33">
        <v>181</v>
      </c>
      <c r="C182" s="34" t="s">
        <v>25</v>
      </c>
      <c r="D182" s="33">
        <v>0.85</v>
      </c>
      <c r="E182" s="35"/>
      <c r="F182" s="35"/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48">
        <v>1</v>
      </c>
      <c r="M182" s="40">
        <v>1</v>
      </c>
      <c r="N182" s="40">
        <v>1</v>
      </c>
      <c r="O182" s="33">
        <v>0</v>
      </c>
      <c r="P182" s="33">
        <v>0</v>
      </c>
      <c r="Q182" s="40">
        <v>1</v>
      </c>
      <c r="R182" s="40">
        <v>1</v>
      </c>
      <c r="S182" s="33">
        <v>0</v>
      </c>
      <c r="T182" s="33">
        <v>0</v>
      </c>
      <c r="U182" s="33">
        <v>0</v>
      </c>
      <c r="V182" s="43">
        <v>4</v>
      </c>
      <c r="W182" s="43">
        <v>4</v>
      </c>
      <c r="X182" s="33">
        <v>3</v>
      </c>
      <c r="Y182" s="38" t="s">
        <v>36</v>
      </c>
    </row>
    <row r="183" ht="15" customHeight="1" spans="1:25">
      <c r="A183" s="51"/>
      <c r="B183" s="33">
        <v>182</v>
      </c>
      <c r="C183" s="34" t="s">
        <v>25</v>
      </c>
      <c r="D183" s="33">
        <v>0.85</v>
      </c>
      <c r="E183" s="35"/>
      <c r="F183" s="35"/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40">
        <v>1</v>
      </c>
      <c r="Q183" s="40">
        <v>1</v>
      </c>
      <c r="R183" s="40">
        <v>1</v>
      </c>
      <c r="S183" s="40">
        <v>1</v>
      </c>
      <c r="T183" s="33">
        <v>1</v>
      </c>
      <c r="U183" s="33">
        <v>1</v>
      </c>
      <c r="V183" s="43">
        <v>4</v>
      </c>
      <c r="W183" s="43">
        <v>4</v>
      </c>
      <c r="X183" s="33">
        <v>4</v>
      </c>
      <c r="Y183" s="38" t="s">
        <v>38</v>
      </c>
    </row>
    <row r="184" ht="15" customHeight="1" spans="1:25">
      <c r="A184" s="51"/>
      <c r="B184" s="33">
        <v>183</v>
      </c>
      <c r="C184" s="46" t="s">
        <v>32</v>
      </c>
      <c r="D184" s="33">
        <v>0.6</v>
      </c>
      <c r="E184" s="35"/>
      <c r="F184" s="35"/>
      <c r="G184" s="33">
        <v>0</v>
      </c>
      <c r="H184" s="33">
        <v>0</v>
      </c>
      <c r="I184" s="40">
        <v>1</v>
      </c>
      <c r="J184" s="33">
        <v>0</v>
      </c>
      <c r="K184" s="48">
        <v>1</v>
      </c>
      <c r="L184" s="33">
        <v>0</v>
      </c>
      <c r="M184" s="40">
        <v>1</v>
      </c>
      <c r="N184" s="33">
        <v>0</v>
      </c>
      <c r="O184" s="40">
        <v>1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9">
        <v>3</v>
      </c>
      <c r="W184" s="45">
        <v>5</v>
      </c>
      <c r="X184" s="33">
        <v>6</v>
      </c>
      <c r="Y184" s="38" t="s">
        <v>42</v>
      </c>
    </row>
    <row r="185" ht="15" customHeight="1" spans="1:25">
      <c r="A185" s="51"/>
      <c r="B185" s="33">
        <v>184</v>
      </c>
      <c r="C185" s="34" t="s">
        <v>25</v>
      </c>
      <c r="D185" s="33">
        <v>0.85</v>
      </c>
      <c r="E185" s="35"/>
      <c r="F185" s="35"/>
      <c r="G185" s="40">
        <v>1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40">
        <v>1</v>
      </c>
      <c r="P185" s="33">
        <v>0</v>
      </c>
      <c r="Q185" s="33">
        <v>0</v>
      </c>
      <c r="R185" s="40">
        <v>1</v>
      </c>
      <c r="S185" s="40">
        <v>1</v>
      </c>
      <c r="T185" s="33">
        <v>0</v>
      </c>
      <c r="U185" s="33">
        <v>1</v>
      </c>
      <c r="V185" s="43">
        <v>4</v>
      </c>
      <c r="W185" s="43">
        <v>4</v>
      </c>
      <c r="X185" s="33">
        <v>5</v>
      </c>
      <c r="Y185" s="38" t="s">
        <v>40</v>
      </c>
    </row>
    <row r="186" ht="15" customHeight="1" spans="1:25">
      <c r="A186" s="51"/>
      <c r="B186" s="33">
        <v>185</v>
      </c>
      <c r="C186" s="34" t="s">
        <v>25</v>
      </c>
      <c r="D186" s="33">
        <v>0.85</v>
      </c>
      <c r="E186" s="35"/>
      <c r="F186" s="35"/>
      <c r="G186" s="40">
        <v>1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40">
        <v>1</v>
      </c>
      <c r="O186" s="33">
        <v>0</v>
      </c>
      <c r="P186" s="33">
        <v>0</v>
      </c>
      <c r="Q186" s="40">
        <v>1</v>
      </c>
      <c r="R186" s="40">
        <v>1</v>
      </c>
      <c r="S186" s="40">
        <v>1</v>
      </c>
      <c r="T186" s="33">
        <v>1</v>
      </c>
      <c r="U186" s="33">
        <v>1</v>
      </c>
      <c r="V186" s="45">
        <v>5</v>
      </c>
      <c r="W186" s="43">
        <v>4</v>
      </c>
      <c r="X186" s="33">
        <v>7</v>
      </c>
      <c r="Y186" s="38" t="s">
        <v>58</v>
      </c>
    </row>
    <row r="187" ht="15" customHeight="1" spans="1:25">
      <c r="A187" s="51"/>
      <c r="B187" s="33">
        <v>186</v>
      </c>
      <c r="C187" s="46" t="s">
        <v>32</v>
      </c>
      <c r="D187" s="33">
        <v>0.6</v>
      </c>
      <c r="E187" s="35"/>
      <c r="F187" s="35"/>
      <c r="G187" s="33">
        <v>0</v>
      </c>
      <c r="H187" s="40">
        <v>1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40">
        <v>1</v>
      </c>
      <c r="P187" s="33">
        <v>0</v>
      </c>
      <c r="Q187" s="33">
        <v>0</v>
      </c>
      <c r="R187" s="40">
        <v>1</v>
      </c>
      <c r="S187" s="33">
        <v>0</v>
      </c>
      <c r="T187" s="33">
        <v>0</v>
      </c>
      <c r="U187" s="33">
        <v>0</v>
      </c>
      <c r="V187" s="37">
        <v>2</v>
      </c>
      <c r="W187" s="45">
        <v>5</v>
      </c>
      <c r="X187" s="33">
        <v>6</v>
      </c>
      <c r="Y187" s="38" t="s">
        <v>42</v>
      </c>
    </row>
    <row r="188" ht="15" customHeight="1" spans="1:25">
      <c r="A188" s="51"/>
      <c r="B188" s="33">
        <v>187</v>
      </c>
      <c r="C188" s="34" t="s">
        <v>25</v>
      </c>
      <c r="D188" s="33">
        <v>0.85</v>
      </c>
      <c r="E188" s="35"/>
      <c r="F188" s="35"/>
      <c r="G188" s="33">
        <v>0</v>
      </c>
      <c r="H188" s="33">
        <v>0</v>
      </c>
      <c r="I188" s="40">
        <v>1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40">
        <v>1</v>
      </c>
      <c r="Q188" s="40">
        <v>1</v>
      </c>
      <c r="R188" s="33">
        <v>0</v>
      </c>
      <c r="S188" s="40">
        <v>1</v>
      </c>
      <c r="T188" s="33">
        <v>1</v>
      </c>
      <c r="U188" s="33">
        <v>1</v>
      </c>
      <c r="V188" s="43">
        <v>4</v>
      </c>
      <c r="W188" s="43">
        <v>4</v>
      </c>
      <c r="X188" s="33">
        <v>3</v>
      </c>
      <c r="Y188" s="38" t="s">
        <v>36</v>
      </c>
    </row>
    <row r="189" ht="15" customHeight="1" spans="1:25">
      <c r="A189" s="51"/>
      <c r="B189" s="33">
        <v>188</v>
      </c>
      <c r="C189" s="34" t="s">
        <v>25</v>
      </c>
      <c r="D189" s="33">
        <v>0.85</v>
      </c>
      <c r="E189" s="35"/>
      <c r="F189" s="35"/>
      <c r="G189" s="33">
        <v>0</v>
      </c>
      <c r="H189" s="33">
        <v>0</v>
      </c>
      <c r="I189" s="33">
        <v>0</v>
      </c>
      <c r="J189" s="48">
        <v>1</v>
      </c>
      <c r="K189" s="33">
        <v>0</v>
      </c>
      <c r="L189" s="48">
        <v>1</v>
      </c>
      <c r="M189" s="40">
        <v>1</v>
      </c>
      <c r="N189" s="33">
        <v>0</v>
      </c>
      <c r="O189" s="40">
        <v>1</v>
      </c>
      <c r="P189" s="40">
        <v>1</v>
      </c>
      <c r="Q189" s="33">
        <v>0</v>
      </c>
      <c r="R189" s="40">
        <v>1</v>
      </c>
      <c r="S189" s="40">
        <v>1</v>
      </c>
      <c r="T189" s="33">
        <v>1</v>
      </c>
      <c r="U189" s="33">
        <v>1</v>
      </c>
      <c r="V189" s="45">
        <v>5</v>
      </c>
      <c r="W189" s="43">
        <v>4</v>
      </c>
      <c r="X189" s="33">
        <v>4</v>
      </c>
      <c r="Y189" s="38" t="s">
        <v>38</v>
      </c>
    </row>
    <row r="190" ht="15" customHeight="1" spans="1:25">
      <c r="A190" s="51"/>
      <c r="B190" s="33">
        <v>189</v>
      </c>
      <c r="C190" s="34" t="s">
        <v>25</v>
      </c>
      <c r="D190" s="33">
        <v>0.85</v>
      </c>
      <c r="E190" s="35"/>
      <c r="F190" s="35"/>
      <c r="G190" s="40">
        <v>1</v>
      </c>
      <c r="H190" s="33">
        <v>0</v>
      </c>
      <c r="I190" s="33">
        <v>0</v>
      </c>
      <c r="J190" s="33">
        <v>0</v>
      </c>
      <c r="K190" s="48">
        <v>1</v>
      </c>
      <c r="L190" s="33">
        <v>0</v>
      </c>
      <c r="M190" s="40">
        <v>1</v>
      </c>
      <c r="N190" s="33">
        <v>0</v>
      </c>
      <c r="O190" s="33">
        <v>0</v>
      </c>
      <c r="P190" s="33">
        <v>0</v>
      </c>
      <c r="Q190" s="40">
        <v>1</v>
      </c>
      <c r="R190" s="33">
        <v>0</v>
      </c>
      <c r="S190" s="40">
        <v>1</v>
      </c>
      <c r="T190" s="33">
        <v>1</v>
      </c>
      <c r="U190" s="33">
        <v>1</v>
      </c>
      <c r="V190" s="43">
        <v>4</v>
      </c>
      <c r="W190" s="43">
        <v>4</v>
      </c>
      <c r="X190" s="33">
        <v>6</v>
      </c>
      <c r="Y190" s="38" t="s">
        <v>42</v>
      </c>
    </row>
    <row r="191" ht="15" customHeight="1" spans="1:25">
      <c r="A191" s="51"/>
      <c r="B191" s="33">
        <v>190</v>
      </c>
      <c r="C191" s="47" t="s">
        <v>41</v>
      </c>
      <c r="D191" s="33">
        <v>0.4</v>
      </c>
      <c r="E191" s="35"/>
      <c r="F191" s="35"/>
      <c r="G191" s="33">
        <v>0</v>
      </c>
      <c r="H191" s="33">
        <v>0</v>
      </c>
      <c r="I191" s="33">
        <v>0</v>
      </c>
      <c r="J191" s="48">
        <v>1</v>
      </c>
      <c r="K191" s="33">
        <v>0</v>
      </c>
      <c r="L191" s="33">
        <v>0</v>
      </c>
      <c r="M191" s="40">
        <v>1</v>
      </c>
      <c r="N191" s="33">
        <v>0</v>
      </c>
      <c r="O191" s="40">
        <v>1</v>
      </c>
      <c r="P191" s="33">
        <v>0</v>
      </c>
      <c r="Q191" s="33">
        <v>0</v>
      </c>
      <c r="R191" s="33">
        <v>0</v>
      </c>
      <c r="S191" s="40">
        <v>1</v>
      </c>
      <c r="T191" s="33">
        <v>1</v>
      </c>
      <c r="U191" s="33">
        <v>1</v>
      </c>
      <c r="V191" s="39">
        <v>3</v>
      </c>
      <c r="W191" s="45">
        <v>5</v>
      </c>
      <c r="X191" s="33">
        <v>5</v>
      </c>
      <c r="Y191" s="38" t="s">
        <v>40</v>
      </c>
    </row>
    <row r="192" ht="15" customHeight="1" spans="1:25">
      <c r="A192" s="51"/>
      <c r="B192" s="33">
        <v>191</v>
      </c>
      <c r="C192" s="34" t="s">
        <v>25</v>
      </c>
      <c r="D192" s="33">
        <v>0.85</v>
      </c>
      <c r="E192" s="35"/>
      <c r="F192" s="35"/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40">
        <v>1</v>
      </c>
      <c r="O192" s="33">
        <v>0</v>
      </c>
      <c r="P192" s="33">
        <v>0</v>
      </c>
      <c r="Q192" s="40">
        <v>1</v>
      </c>
      <c r="R192" s="33">
        <v>0</v>
      </c>
      <c r="S192" s="40">
        <v>1</v>
      </c>
      <c r="T192" s="33">
        <v>1</v>
      </c>
      <c r="U192" s="33">
        <v>1</v>
      </c>
      <c r="V192" s="39">
        <v>3</v>
      </c>
      <c r="W192" s="43">
        <v>4</v>
      </c>
      <c r="X192" s="33">
        <v>3</v>
      </c>
      <c r="Y192" s="38" t="s">
        <v>36</v>
      </c>
    </row>
    <row r="193" ht="15" customHeight="1" spans="1:25">
      <c r="A193" s="51"/>
      <c r="B193" s="33">
        <v>192</v>
      </c>
      <c r="C193" s="34" t="s">
        <v>25</v>
      </c>
      <c r="D193" s="33">
        <v>0.85</v>
      </c>
      <c r="E193" s="35"/>
      <c r="F193" s="35"/>
      <c r="G193" s="33">
        <v>0</v>
      </c>
      <c r="H193" s="33">
        <v>0</v>
      </c>
      <c r="I193" s="40">
        <v>1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40">
        <v>1</v>
      </c>
      <c r="Q193" s="33">
        <v>0</v>
      </c>
      <c r="R193" s="40">
        <v>1</v>
      </c>
      <c r="S193" s="33">
        <v>0</v>
      </c>
      <c r="T193" s="33">
        <v>0</v>
      </c>
      <c r="U193" s="33">
        <v>0</v>
      </c>
      <c r="V193" s="39">
        <v>3</v>
      </c>
      <c r="W193" s="45">
        <v>5</v>
      </c>
      <c r="X193" s="33">
        <v>6</v>
      </c>
      <c r="Y193" s="38" t="s">
        <v>42</v>
      </c>
    </row>
    <row r="194" ht="15" customHeight="1" spans="1:25">
      <c r="A194" s="51"/>
      <c r="B194" s="33">
        <v>193</v>
      </c>
      <c r="C194" s="34" t="s">
        <v>25</v>
      </c>
      <c r="D194" s="33">
        <v>0.85</v>
      </c>
      <c r="E194" s="35"/>
      <c r="F194" s="35"/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40">
        <v>1</v>
      </c>
      <c r="O194" s="33">
        <v>0</v>
      </c>
      <c r="P194" s="33">
        <v>0</v>
      </c>
      <c r="Q194" s="40">
        <v>1</v>
      </c>
      <c r="R194" s="33">
        <v>0</v>
      </c>
      <c r="S194" s="40">
        <v>1</v>
      </c>
      <c r="T194" s="33">
        <v>1</v>
      </c>
      <c r="U194" s="33">
        <v>1</v>
      </c>
      <c r="V194" s="39">
        <v>3</v>
      </c>
      <c r="W194" s="43">
        <v>4</v>
      </c>
      <c r="X194" s="33">
        <v>3</v>
      </c>
      <c r="Y194" s="38" t="s">
        <v>36</v>
      </c>
    </row>
    <row r="195" ht="15" customHeight="1" spans="1:25">
      <c r="A195" s="51"/>
      <c r="B195" s="33">
        <v>194</v>
      </c>
      <c r="C195" s="46" t="s">
        <v>32</v>
      </c>
      <c r="D195" s="33">
        <v>0.6</v>
      </c>
      <c r="E195" s="35"/>
      <c r="F195" s="35"/>
      <c r="G195" s="33">
        <v>0</v>
      </c>
      <c r="H195" s="40">
        <v>1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40">
        <v>1</v>
      </c>
      <c r="P195" s="33">
        <v>0</v>
      </c>
      <c r="Q195" s="40">
        <v>1</v>
      </c>
      <c r="R195" s="33">
        <v>0</v>
      </c>
      <c r="S195" s="33">
        <v>0</v>
      </c>
      <c r="T195" s="33">
        <v>0</v>
      </c>
      <c r="U195" s="33">
        <v>0</v>
      </c>
      <c r="V195" s="37">
        <v>2</v>
      </c>
      <c r="W195" s="45">
        <v>5</v>
      </c>
      <c r="X195" s="33">
        <v>4</v>
      </c>
      <c r="Y195" s="38" t="s">
        <v>38</v>
      </c>
    </row>
    <row r="196" ht="15" customHeight="1" spans="1:25">
      <c r="A196" s="51"/>
      <c r="B196" s="33">
        <v>195</v>
      </c>
      <c r="C196" s="34" t="s">
        <v>25</v>
      </c>
      <c r="D196" s="33">
        <v>0.85</v>
      </c>
      <c r="E196" s="35"/>
      <c r="F196" s="35"/>
      <c r="G196" s="40">
        <v>1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40">
        <v>1</v>
      </c>
      <c r="P196" s="33">
        <v>0</v>
      </c>
      <c r="Q196" s="33">
        <v>0</v>
      </c>
      <c r="R196" s="40">
        <v>1</v>
      </c>
      <c r="S196" s="40">
        <v>1</v>
      </c>
      <c r="T196" s="33">
        <v>1</v>
      </c>
      <c r="U196" s="33">
        <v>1</v>
      </c>
      <c r="V196" s="43">
        <v>4</v>
      </c>
      <c r="W196" s="43">
        <v>4</v>
      </c>
      <c r="X196" s="33">
        <v>7</v>
      </c>
      <c r="Y196" s="38" t="s">
        <v>58</v>
      </c>
    </row>
    <row r="197" ht="15" customHeight="1" spans="1:25">
      <c r="A197" s="51"/>
      <c r="B197" s="33">
        <v>196</v>
      </c>
      <c r="C197" s="34" t="s">
        <v>25</v>
      </c>
      <c r="D197" s="33">
        <v>0.85</v>
      </c>
      <c r="E197" s="35"/>
      <c r="F197" s="35"/>
      <c r="G197" s="33">
        <v>0</v>
      </c>
      <c r="H197" s="33">
        <v>0</v>
      </c>
      <c r="I197" s="33">
        <v>0</v>
      </c>
      <c r="J197" s="33">
        <v>0</v>
      </c>
      <c r="K197" s="48">
        <v>1</v>
      </c>
      <c r="L197" s="33">
        <v>0</v>
      </c>
      <c r="M197" s="40">
        <v>1</v>
      </c>
      <c r="N197" s="33">
        <v>0</v>
      </c>
      <c r="O197" s="33">
        <v>0</v>
      </c>
      <c r="P197" s="33">
        <v>0</v>
      </c>
      <c r="Q197" s="40">
        <v>1</v>
      </c>
      <c r="R197" s="40">
        <v>1</v>
      </c>
      <c r="S197" s="40">
        <v>1</v>
      </c>
      <c r="T197" s="33">
        <v>1</v>
      </c>
      <c r="U197" s="33">
        <v>1</v>
      </c>
      <c r="V197" s="43">
        <v>4</v>
      </c>
      <c r="W197" s="43">
        <v>4</v>
      </c>
      <c r="X197" s="33">
        <v>3</v>
      </c>
      <c r="Y197" s="38" t="s">
        <v>36</v>
      </c>
    </row>
    <row r="198" ht="15" customHeight="1" spans="1:25">
      <c r="A198" s="51"/>
      <c r="B198" s="33">
        <v>197</v>
      </c>
      <c r="C198" s="46" t="s">
        <v>32</v>
      </c>
      <c r="D198" s="33">
        <v>0.6</v>
      </c>
      <c r="E198" s="35"/>
      <c r="F198" s="35"/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40">
        <v>1</v>
      </c>
      <c r="O198" s="33">
        <v>0</v>
      </c>
      <c r="P198" s="40">
        <v>1</v>
      </c>
      <c r="Q198" s="33">
        <v>0</v>
      </c>
      <c r="R198" s="33">
        <v>0</v>
      </c>
      <c r="S198" s="40">
        <v>1</v>
      </c>
      <c r="T198" s="33">
        <v>1</v>
      </c>
      <c r="U198" s="33">
        <v>1</v>
      </c>
      <c r="V198" s="39">
        <v>3</v>
      </c>
      <c r="W198" s="45">
        <v>5</v>
      </c>
      <c r="X198" s="33">
        <v>3</v>
      </c>
      <c r="Y198" s="38" t="s">
        <v>36</v>
      </c>
    </row>
    <row r="199" ht="15" customHeight="1" spans="1:25">
      <c r="A199" s="51"/>
      <c r="B199" s="33">
        <v>198</v>
      </c>
      <c r="C199" s="34" t="s">
        <v>25</v>
      </c>
      <c r="D199" s="33">
        <v>0.85</v>
      </c>
      <c r="E199" s="35"/>
      <c r="F199" s="35"/>
      <c r="G199" s="40">
        <v>1</v>
      </c>
      <c r="H199" s="33">
        <v>0</v>
      </c>
      <c r="I199" s="33">
        <v>0</v>
      </c>
      <c r="J199" s="33">
        <v>0</v>
      </c>
      <c r="K199" s="33">
        <v>0</v>
      </c>
      <c r="L199" s="48">
        <v>1</v>
      </c>
      <c r="M199" s="40">
        <v>1</v>
      </c>
      <c r="N199" s="33">
        <v>0</v>
      </c>
      <c r="O199" s="33">
        <v>0</v>
      </c>
      <c r="P199" s="33">
        <v>0</v>
      </c>
      <c r="Q199" s="33">
        <v>0</v>
      </c>
      <c r="R199" s="40">
        <v>1</v>
      </c>
      <c r="S199" s="33">
        <v>0</v>
      </c>
      <c r="T199" s="33">
        <v>1</v>
      </c>
      <c r="U199" s="33">
        <v>1</v>
      </c>
      <c r="V199" s="39">
        <v>3</v>
      </c>
      <c r="W199" s="43">
        <v>4</v>
      </c>
      <c r="X199" s="33">
        <v>5</v>
      </c>
      <c r="Y199" s="38" t="s">
        <v>40</v>
      </c>
    </row>
    <row r="200" ht="15" customHeight="1" spans="1:25">
      <c r="A200" s="51"/>
      <c r="B200" s="33">
        <v>199</v>
      </c>
      <c r="C200" s="46" t="s">
        <v>32</v>
      </c>
      <c r="D200" s="33">
        <v>0.6</v>
      </c>
      <c r="E200" s="35"/>
      <c r="F200" s="35"/>
      <c r="G200" s="40">
        <v>1</v>
      </c>
      <c r="H200" s="33">
        <v>0</v>
      </c>
      <c r="I200" s="33">
        <v>0</v>
      </c>
      <c r="J200" s="33">
        <v>0</v>
      </c>
      <c r="K200" s="33">
        <v>0</v>
      </c>
      <c r="L200" s="48">
        <v>1</v>
      </c>
      <c r="M200" s="40">
        <v>1</v>
      </c>
      <c r="N200" s="33">
        <v>0</v>
      </c>
      <c r="O200" s="40">
        <v>1</v>
      </c>
      <c r="P200" s="33">
        <v>0</v>
      </c>
      <c r="Q200" s="40">
        <v>1</v>
      </c>
      <c r="R200" s="33">
        <v>0</v>
      </c>
      <c r="S200" s="33">
        <v>0</v>
      </c>
      <c r="T200" s="33">
        <v>0</v>
      </c>
      <c r="U200" s="33">
        <v>0</v>
      </c>
      <c r="V200" s="43">
        <v>4</v>
      </c>
      <c r="W200" s="45">
        <v>5</v>
      </c>
      <c r="X200" s="33">
        <v>3</v>
      </c>
      <c r="Y200" s="38" t="s">
        <v>36</v>
      </c>
    </row>
    <row r="201" ht="15" customHeight="1" spans="1:25">
      <c r="A201" s="51"/>
      <c r="B201" s="33">
        <v>200</v>
      </c>
      <c r="C201" s="47" t="s">
        <v>41</v>
      </c>
      <c r="D201" s="33">
        <v>0.4</v>
      </c>
      <c r="E201" s="35"/>
      <c r="F201" s="35"/>
      <c r="G201" s="40">
        <v>1</v>
      </c>
      <c r="H201" s="33">
        <v>0</v>
      </c>
      <c r="I201" s="40">
        <v>1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0</v>
      </c>
      <c r="P201" s="40">
        <v>1</v>
      </c>
      <c r="Q201" s="33">
        <v>0</v>
      </c>
      <c r="R201" s="33">
        <v>0</v>
      </c>
      <c r="S201" s="33">
        <v>0</v>
      </c>
      <c r="T201" s="33">
        <v>1</v>
      </c>
      <c r="U201" s="33">
        <v>1</v>
      </c>
      <c r="V201" s="39">
        <v>3</v>
      </c>
      <c r="W201" s="45">
        <v>5</v>
      </c>
      <c r="X201" s="33">
        <v>7</v>
      </c>
      <c r="Y201" s="38" t="s">
        <v>58</v>
      </c>
    </row>
    <row r="202" spans="1:25">
      <c r="A202" s="26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Y202" s="25" t="str">
        <f t="array" ref="Y202">IFERROR(INDEX(参数配置!C:C,MATCH(X202,参数配置!A:A,0)),"")</f>
        <v/>
      </c>
    </row>
    <row r="203" spans="1:25">
      <c r="A203" s="26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Y203" s="25" t="str">
        <f t="array" ref="Y203">IFERROR(INDEX(参数配置!C:C,MATCH(X203,参数配置!A:A,0)),"")</f>
        <v/>
      </c>
    </row>
    <row r="204" spans="1:25">
      <c r="A204" s="26"/>
      <c r="B204" s="24"/>
      <c r="C204" s="24"/>
      <c r="D204" s="24"/>
      <c r="E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</row>
    <row r="205" spans="1:25">
      <c r="A205" s="26"/>
      <c r="B205" s="24"/>
      <c r="C205" s="24"/>
      <c r="D205" s="24"/>
      <c r="E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</row>
    <row r="206" spans="1:25">
      <c r="A206" s="26"/>
      <c r="B206" s="24"/>
      <c r="C206" s="24"/>
      <c r="D206" s="24"/>
      <c r="E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</row>
    <row r="207" spans="1:25">
      <c r="A207" s="26"/>
      <c r="B207" s="24"/>
      <c r="C207" s="24"/>
      <c r="D207" s="24"/>
      <c r="E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</row>
    <row r="208" spans="1:25">
      <c r="A208" s="26"/>
      <c r="B208" s="24"/>
      <c r="C208" s="24"/>
      <c r="D208" s="24"/>
      <c r="E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</row>
    <row r="209" spans="1:23">
      <c r="A209" s="26"/>
      <c r="B209" s="24"/>
      <c r="C209" s="24"/>
      <c r="D209" s="24"/>
      <c r="E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</row>
    <row r="210" spans="1:23">
      <c r="A210" s="26"/>
      <c r="B210" s="24"/>
      <c r="C210" s="24"/>
      <c r="D210" s="24"/>
      <c r="E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</row>
    <row r="211" spans="1:23">
      <c r="A211" s="26"/>
      <c r="B211" s="24"/>
      <c r="C211" s="24"/>
      <c r="D211" s="24"/>
      <c r="E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</row>
    <row r="212" spans="1:23">
      <c r="A212" s="26"/>
      <c r="B212" s="24"/>
      <c r="C212" s="24"/>
      <c r="D212" s="24"/>
      <c r="E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</row>
    <row r="213" spans="1:23">
      <c r="A213" s="26"/>
      <c r="B213" s="24"/>
      <c r="C213" s="24"/>
      <c r="D213" s="24"/>
      <c r="E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</row>
    <row r="214" spans="1:23">
      <c r="A214" s="26"/>
      <c r="B214" s="24"/>
      <c r="C214" s="24"/>
      <c r="D214" s="24"/>
      <c r="E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</row>
    <row r="215" spans="1:23">
      <c r="A215" s="26"/>
      <c r="B215" s="24"/>
      <c r="C215" s="24"/>
      <c r="D215" s="24"/>
      <c r="E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</row>
    <row r="216" spans="1:23">
      <c r="A216" s="26"/>
      <c r="B216" s="24"/>
      <c r="C216" s="24"/>
      <c r="D216" s="24"/>
      <c r="E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</row>
    <row r="217" spans="1:23">
      <c r="A217" s="26"/>
      <c r="B217" s="24"/>
      <c r="C217" s="24"/>
      <c r="D217" s="24"/>
      <c r="E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</row>
    <row r="218" spans="1:23">
      <c r="A218" s="26"/>
      <c r="B218" s="24"/>
      <c r="C218" s="24"/>
      <c r="D218" s="24"/>
      <c r="E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</row>
    <row r="219" spans="1:23">
      <c r="A219" s="26"/>
      <c r="B219" s="24"/>
      <c r="C219" s="24"/>
      <c r="D219" s="24"/>
      <c r="E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</row>
    <row r="220" spans="1:23">
      <c r="A220" s="26"/>
      <c r="B220" s="24"/>
      <c r="C220" s="24"/>
      <c r="D220" s="24"/>
      <c r="E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</row>
    <row r="221" spans="1:23">
      <c r="A221" s="26"/>
      <c r="B221" s="24"/>
      <c r="C221" s="24"/>
      <c r="D221" s="24"/>
      <c r="E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</row>
    <row r="222" spans="1:23">
      <c r="A222" s="26"/>
      <c r="B222" s="24"/>
      <c r="C222" s="24"/>
      <c r="D222" s="24"/>
      <c r="E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</row>
    <row r="223" spans="1:23">
      <c r="A223" s="26"/>
      <c r="B223" s="24"/>
      <c r="C223" s="24"/>
      <c r="D223" s="24"/>
      <c r="E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</row>
    <row r="224" spans="1:23">
      <c r="A224" s="26"/>
      <c r="B224" s="24"/>
      <c r="C224" s="24"/>
      <c r="D224" s="24"/>
      <c r="E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</row>
    <row r="225" spans="1:23">
      <c r="A225" s="26"/>
      <c r="B225" s="24"/>
      <c r="C225" s="24"/>
      <c r="D225" s="24"/>
      <c r="E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</row>
    <row r="226" spans="1:23">
      <c r="A226" s="26"/>
      <c r="B226" s="24"/>
      <c r="C226" s="24"/>
      <c r="D226" s="24"/>
      <c r="E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</row>
    <row r="227" spans="1:23">
      <c r="A227" s="26"/>
      <c r="B227" s="24"/>
      <c r="C227" s="24"/>
      <c r="D227" s="24"/>
      <c r="E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</row>
    <row r="228" spans="1:23">
      <c r="A228" s="26"/>
      <c r="B228" s="24"/>
      <c r="C228" s="24"/>
      <c r="D228" s="24"/>
      <c r="E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</row>
    <row r="229" spans="1:23">
      <c r="A229" s="26"/>
      <c r="B229" s="24"/>
      <c r="C229" s="24"/>
      <c r="D229" s="24"/>
      <c r="E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</row>
    <row r="230" spans="1:23">
      <c r="A230" s="26"/>
      <c r="B230" s="24"/>
      <c r="C230" s="24"/>
      <c r="D230" s="24"/>
      <c r="E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</row>
    <row r="231" spans="1:23">
      <c r="A231" s="26"/>
      <c r="B231" s="24"/>
      <c r="C231" s="24"/>
      <c r="D231" s="24"/>
      <c r="E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</row>
    <row r="232" spans="1:23">
      <c r="A232" s="26"/>
      <c r="B232" s="24"/>
      <c r="C232" s="24"/>
      <c r="D232" s="24"/>
      <c r="E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</row>
    <row r="233" spans="1:23">
      <c r="A233" s="26"/>
      <c r="B233" s="24"/>
      <c r="C233" s="24"/>
      <c r="D233" s="24"/>
      <c r="E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</row>
    <row r="234" spans="1:23">
      <c r="A234" s="26"/>
      <c r="B234" s="24"/>
      <c r="C234" s="24"/>
      <c r="D234" s="24"/>
      <c r="E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</row>
    <row r="235" spans="1:23">
      <c r="A235" s="26"/>
      <c r="B235" s="24"/>
      <c r="C235" s="24"/>
      <c r="D235" s="24"/>
      <c r="E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</row>
    <row r="236" spans="1:23">
      <c r="A236" s="26"/>
      <c r="B236" s="24"/>
      <c r="C236" s="24"/>
      <c r="D236" s="24"/>
      <c r="E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</row>
    <row r="237" spans="1:23">
      <c r="A237" s="26"/>
      <c r="B237" s="24"/>
      <c r="C237" s="24"/>
      <c r="D237" s="24"/>
      <c r="E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</row>
    <row r="238" spans="1:23">
      <c r="A238" s="26"/>
      <c r="B238" s="24"/>
      <c r="C238" s="24"/>
      <c r="D238" s="24"/>
      <c r="E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</row>
    <row r="239" spans="1:23">
      <c r="A239" s="26"/>
      <c r="B239" s="24"/>
      <c r="C239" s="24"/>
      <c r="D239" s="24"/>
      <c r="E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</row>
    <row r="240" spans="1:23">
      <c r="A240" s="26"/>
      <c r="B240" s="24"/>
      <c r="C240" s="24"/>
      <c r="D240" s="24"/>
      <c r="E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</row>
    <row r="241" spans="1:23">
      <c r="A241" s="26"/>
      <c r="B241" s="24"/>
      <c r="C241" s="24"/>
      <c r="D241" s="24"/>
      <c r="E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</row>
    <row r="242" spans="1:23">
      <c r="A242" s="26"/>
      <c r="B242" s="24"/>
      <c r="C242" s="24"/>
      <c r="D242" s="24"/>
      <c r="E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</row>
    <row r="243" spans="1:23">
      <c r="A243" s="26"/>
      <c r="B243" s="24"/>
      <c r="C243" s="24"/>
      <c r="D243" s="24"/>
      <c r="E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</row>
    <row r="244" spans="1:23">
      <c r="A244" s="26"/>
      <c r="B244" s="24"/>
      <c r="C244" s="24"/>
      <c r="D244" s="24"/>
      <c r="E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</row>
    <row r="245" spans="1:23">
      <c r="A245" s="26"/>
      <c r="B245" s="24"/>
      <c r="C245" s="24"/>
      <c r="D245" s="24"/>
      <c r="E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</row>
    <row r="246" spans="1:23">
      <c r="A246" s="26"/>
      <c r="B246" s="24"/>
      <c r="C246" s="24"/>
      <c r="D246" s="24"/>
      <c r="E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</row>
    <row r="247" spans="1:23">
      <c r="A247" s="26"/>
      <c r="B247" s="24"/>
      <c r="C247" s="24"/>
      <c r="D247" s="24"/>
      <c r="E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</row>
    <row r="248" spans="1:23">
      <c r="A248" s="26"/>
      <c r="B248" s="24"/>
      <c r="C248" s="24"/>
      <c r="D248" s="24"/>
      <c r="E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</row>
    <row r="249" spans="1:23">
      <c r="A249" s="26"/>
      <c r="B249" s="24"/>
      <c r="C249" s="24"/>
      <c r="D249" s="24"/>
      <c r="E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</row>
    <row r="250" spans="1:23">
      <c r="A250" s="26"/>
      <c r="B250" s="24"/>
      <c r="C250" s="24"/>
      <c r="D250" s="24"/>
      <c r="E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</row>
    <row r="251" spans="1:23">
      <c r="A251" s="26"/>
      <c r="B251" s="24"/>
      <c r="C251" s="24"/>
      <c r="D251" s="24"/>
      <c r="E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</row>
    <row r="252" spans="1:23">
      <c r="A252" s="26"/>
      <c r="B252" s="24"/>
      <c r="C252" s="24"/>
      <c r="D252" s="24"/>
      <c r="E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</row>
    <row r="253" spans="1:23">
      <c r="A253" s="26"/>
      <c r="B253" s="24"/>
      <c r="C253" s="24"/>
      <c r="D253" s="24"/>
      <c r="E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</row>
    <row r="254" spans="1:23">
      <c r="A254" s="26"/>
      <c r="B254" s="24"/>
      <c r="C254" s="24"/>
      <c r="D254" s="24"/>
      <c r="E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</row>
    <row r="255" spans="1:23">
      <c r="A255" s="26"/>
      <c r="B255" s="24"/>
      <c r="C255" s="24"/>
      <c r="D255" s="24"/>
      <c r="E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</row>
    <row r="256" spans="1:23">
      <c r="A256" s="26"/>
      <c r="B256" s="24"/>
      <c r="C256" s="24"/>
      <c r="D256" s="24"/>
      <c r="E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</row>
    <row r="257" spans="1:23">
      <c r="A257" s="26"/>
      <c r="B257" s="24"/>
      <c r="C257" s="24"/>
      <c r="D257" s="24"/>
      <c r="E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</row>
    <row r="258" spans="1:23">
      <c r="A258" s="26"/>
      <c r="B258" s="24"/>
      <c r="C258" s="24"/>
      <c r="D258" s="24"/>
      <c r="E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</row>
    <row r="259" spans="1:23">
      <c r="A259" s="26"/>
      <c r="B259" s="24"/>
      <c r="C259" s="24"/>
      <c r="D259" s="24"/>
      <c r="E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</row>
    <row r="260" spans="1:23">
      <c r="A260" s="26"/>
      <c r="B260" s="24"/>
      <c r="C260" s="24"/>
      <c r="D260" s="24"/>
      <c r="E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</row>
    <row r="261" spans="1:23">
      <c r="A261" s="26"/>
      <c r="B261" s="24"/>
      <c r="C261" s="24"/>
      <c r="D261" s="24"/>
      <c r="E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</row>
    <row r="262" spans="1:23">
      <c r="A262" s="26"/>
      <c r="B262" s="24"/>
      <c r="C262" s="24"/>
      <c r="D262" s="24"/>
      <c r="E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</row>
    <row r="263" spans="1:23">
      <c r="A263" s="26"/>
      <c r="B263" s="24"/>
      <c r="C263" s="24"/>
      <c r="D263" s="24"/>
      <c r="E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</row>
    <row r="264" spans="1:23">
      <c r="A264" s="26"/>
      <c r="B264" s="24"/>
      <c r="C264" s="24"/>
      <c r="D264" s="24"/>
      <c r="E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</row>
    <row r="265" spans="1:23">
      <c r="A265" s="26"/>
      <c r="B265" s="24"/>
      <c r="C265" s="24"/>
      <c r="D265" s="24"/>
      <c r="E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</row>
    <row r="266" spans="1:23">
      <c r="A266" s="26"/>
      <c r="B266" s="24"/>
      <c r="C266" s="24"/>
      <c r="D266" s="24"/>
      <c r="E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</row>
    <row r="267" spans="1:23">
      <c r="A267" s="26"/>
      <c r="B267" s="24"/>
      <c r="C267" s="24"/>
      <c r="D267" s="24"/>
      <c r="E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</row>
    <row r="268" spans="1:23">
      <c r="A268" s="26"/>
      <c r="B268" s="24"/>
      <c r="C268" s="24"/>
      <c r="D268" s="24"/>
      <c r="E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</row>
    <row r="269" spans="1:23">
      <c r="A269" s="26"/>
      <c r="B269" s="24"/>
      <c r="C269" s="24"/>
      <c r="D269" s="24"/>
      <c r="E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</row>
    <row r="270" spans="1:23">
      <c r="A270" s="26"/>
      <c r="B270" s="24"/>
      <c r="C270" s="24"/>
      <c r="D270" s="24"/>
      <c r="E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</row>
    <row r="271" spans="1:23">
      <c r="A271" s="26"/>
      <c r="B271" s="24"/>
      <c r="C271" s="24"/>
      <c r="D271" s="24"/>
      <c r="E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</row>
    <row r="272" spans="1:23">
      <c r="A272" s="26"/>
      <c r="B272" s="24"/>
      <c r="C272" s="24"/>
      <c r="D272" s="24"/>
      <c r="E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</row>
    <row r="273" spans="1:23">
      <c r="A273" s="26"/>
      <c r="B273" s="24"/>
      <c r="C273" s="24"/>
      <c r="D273" s="24"/>
      <c r="E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</row>
    <row r="274" spans="1:23">
      <c r="A274" s="26"/>
      <c r="B274" s="24"/>
      <c r="C274" s="24"/>
      <c r="D274" s="24"/>
      <c r="E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</row>
    <row r="275" spans="1:23">
      <c r="A275" s="26"/>
      <c r="B275" s="24"/>
      <c r="C275" s="24"/>
      <c r="D275" s="24"/>
      <c r="E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</row>
    <row r="276" spans="1:23">
      <c r="A276" s="26"/>
      <c r="B276" s="24"/>
      <c r="C276" s="24"/>
      <c r="D276" s="24"/>
      <c r="E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</row>
    <row r="277" spans="1:23">
      <c r="A277" s="26"/>
      <c r="B277" s="24"/>
      <c r="C277" s="24"/>
      <c r="D277" s="24"/>
      <c r="E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</row>
    <row r="278" spans="1:23">
      <c r="A278" s="26"/>
      <c r="B278" s="24"/>
      <c r="C278" s="24"/>
      <c r="D278" s="24"/>
      <c r="E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</row>
    <row r="279" spans="1:23">
      <c r="A279" s="26"/>
      <c r="B279" s="24"/>
      <c r="C279" s="24"/>
      <c r="D279" s="24"/>
      <c r="E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</row>
    <row r="280" spans="1:23">
      <c r="A280" s="26"/>
      <c r="B280" s="24"/>
      <c r="C280" s="24"/>
      <c r="D280" s="24"/>
      <c r="E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</row>
    <row r="281" spans="1:23">
      <c r="A281" s="26"/>
      <c r="B281" s="24"/>
      <c r="C281" s="24"/>
      <c r="D281" s="24"/>
      <c r="E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</row>
    <row r="282" spans="1:23">
      <c r="A282" s="26"/>
      <c r="B282" s="24"/>
      <c r="C282" s="24"/>
      <c r="D282" s="24"/>
      <c r="E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</row>
    <row r="283" spans="1:23">
      <c r="A283" s="26"/>
      <c r="B283" s="24"/>
      <c r="C283" s="24"/>
      <c r="D283" s="24"/>
      <c r="E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</row>
    <row r="284" spans="1:23">
      <c r="A284" s="26"/>
      <c r="B284" s="24"/>
      <c r="C284" s="24"/>
      <c r="D284" s="24"/>
      <c r="E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</row>
    <row r="285" spans="1:23">
      <c r="A285" s="26"/>
      <c r="B285" s="24"/>
      <c r="C285" s="24"/>
      <c r="D285" s="24"/>
      <c r="E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</row>
    <row r="286" spans="1:23">
      <c r="A286" s="26"/>
      <c r="B286" s="24"/>
      <c r="C286" s="24"/>
      <c r="D286" s="24"/>
      <c r="E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</row>
    <row r="287" spans="1:23">
      <c r="A287" s="26"/>
      <c r="B287" s="24"/>
      <c r="C287" s="24"/>
      <c r="D287" s="24"/>
      <c r="E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</row>
    <row r="288" spans="1:23">
      <c r="A288" s="26"/>
      <c r="B288" s="24"/>
      <c r="C288" s="24"/>
      <c r="D288" s="24"/>
      <c r="E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</row>
    <row r="289" spans="1:23">
      <c r="A289" s="26"/>
      <c r="B289" s="24"/>
      <c r="C289" s="24"/>
      <c r="D289" s="24"/>
      <c r="E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</row>
    <row r="290" spans="1:23">
      <c r="A290" s="26"/>
      <c r="B290" s="24"/>
      <c r="C290" s="24"/>
      <c r="D290" s="24"/>
      <c r="E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</row>
    <row r="291" spans="1:23">
      <c r="A291" s="26"/>
      <c r="B291" s="24"/>
      <c r="C291" s="24"/>
      <c r="D291" s="24"/>
      <c r="E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</row>
    <row r="292" spans="1:23">
      <c r="A292" s="26"/>
      <c r="B292" s="24"/>
      <c r="C292" s="24"/>
      <c r="D292" s="24"/>
      <c r="E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</row>
    <row r="293" spans="1:23">
      <c r="A293" s="26"/>
      <c r="B293" s="24"/>
      <c r="C293" s="24"/>
      <c r="D293" s="24"/>
      <c r="E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</row>
    <row r="294" spans="1:23">
      <c r="A294" s="26"/>
      <c r="B294" s="24"/>
      <c r="C294" s="24"/>
      <c r="D294" s="24"/>
      <c r="E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</row>
    <row r="295" spans="1:23">
      <c r="A295" s="26"/>
      <c r="B295" s="24"/>
      <c r="C295" s="24"/>
      <c r="D295" s="24"/>
      <c r="E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</row>
    <row r="296" spans="1:23">
      <c r="A296" s="26"/>
      <c r="B296" s="24"/>
      <c r="C296" s="24"/>
      <c r="D296" s="24"/>
      <c r="E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</row>
    <row r="297" spans="1:23">
      <c r="A297" s="26"/>
      <c r="B297" s="24"/>
      <c r="C297" s="24"/>
      <c r="D297" s="24"/>
      <c r="E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</row>
    <row r="298" spans="1:23">
      <c r="A298" s="26"/>
      <c r="B298" s="24"/>
      <c r="C298" s="24"/>
      <c r="D298" s="24"/>
      <c r="E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</row>
    <row r="299" spans="1:23">
      <c r="A299" s="26"/>
      <c r="B299" s="24"/>
      <c r="C299" s="24"/>
      <c r="D299" s="24"/>
      <c r="E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</row>
    <row r="300" spans="1:23">
      <c r="A300" s="26"/>
      <c r="B300" s="24"/>
      <c r="C300" s="24"/>
      <c r="D300" s="24"/>
      <c r="E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</row>
    <row r="301" spans="1:23">
      <c r="A301" s="26"/>
      <c r="B301" s="24"/>
      <c r="C301" s="24"/>
      <c r="D301" s="24"/>
      <c r="E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</row>
    <row r="302" spans="1:23">
      <c r="A302" s="26"/>
      <c r="B302" s="24"/>
      <c r="C302" s="24"/>
      <c r="D302" s="24"/>
      <c r="E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</row>
    <row r="303" spans="1:23">
      <c r="A303" s="26"/>
      <c r="B303" s="24"/>
      <c r="C303" s="24"/>
      <c r="D303" s="24"/>
      <c r="E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</row>
    <row r="304" spans="1:23">
      <c r="A304" s="26"/>
      <c r="B304" s="24"/>
      <c r="C304" s="24"/>
      <c r="D304" s="24"/>
      <c r="E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</row>
    <row r="305" spans="1:23">
      <c r="A305" s="26"/>
      <c r="B305" s="24"/>
      <c r="C305" s="24"/>
      <c r="D305" s="24"/>
      <c r="E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</row>
    <row r="306" spans="1:23">
      <c r="A306" s="26"/>
      <c r="B306" s="24"/>
      <c r="C306" s="24"/>
      <c r="D306" s="24"/>
      <c r="E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</row>
    <row r="307" spans="1:23">
      <c r="A307" s="26"/>
      <c r="B307" s="24"/>
      <c r="C307" s="24"/>
      <c r="D307" s="24"/>
      <c r="E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</row>
    <row r="308" spans="1:23">
      <c r="A308" s="26"/>
      <c r="B308" s="24"/>
      <c r="C308" s="24"/>
      <c r="D308" s="24"/>
      <c r="E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</row>
    <row r="309" spans="1:23">
      <c r="A309" s="26"/>
      <c r="B309" s="24"/>
      <c r="C309" s="24"/>
      <c r="D309" s="24"/>
      <c r="E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</row>
    <row r="310" spans="1:23">
      <c r="A310" s="26"/>
      <c r="B310" s="24"/>
      <c r="C310" s="24"/>
      <c r="D310" s="24"/>
      <c r="E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</row>
    <row r="311" spans="1:23">
      <c r="A311" s="26"/>
      <c r="B311" s="24"/>
      <c r="C311" s="24"/>
      <c r="D311" s="24"/>
      <c r="E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</row>
    <row r="312" spans="1:23">
      <c r="A312" s="26"/>
      <c r="B312" s="24"/>
      <c r="C312" s="24"/>
      <c r="D312" s="24"/>
      <c r="E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</row>
    <row r="313" spans="1:23">
      <c r="A313" s="26"/>
      <c r="B313" s="24"/>
      <c r="C313" s="24"/>
      <c r="D313" s="24"/>
      <c r="E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</row>
    <row r="314" spans="1:23">
      <c r="A314" s="26"/>
      <c r="B314" s="24"/>
      <c r="C314" s="24"/>
      <c r="D314" s="24"/>
      <c r="E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</row>
    <row r="315" spans="1:23">
      <c r="A315" s="26"/>
      <c r="B315" s="24"/>
      <c r="C315" s="24"/>
      <c r="D315" s="24"/>
      <c r="E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</row>
    <row r="316" spans="1:23">
      <c r="A316" s="26"/>
      <c r="B316" s="24"/>
      <c r="C316" s="24"/>
      <c r="D316" s="24"/>
      <c r="E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</row>
    <row r="317" spans="1:23">
      <c r="A317" s="26"/>
      <c r="B317" s="24"/>
      <c r="C317" s="24"/>
      <c r="D317" s="24"/>
      <c r="E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</row>
    <row r="318" spans="1:23">
      <c r="A318" s="26"/>
      <c r="B318" s="24"/>
      <c r="C318" s="24"/>
      <c r="D318" s="24"/>
      <c r="E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</row>
    <row r="319" spans="1:23">
      <c r="A319" s="26"/>
      <c r="B319" s="24"/>
      <c r="C319" s="24"/>
      <c r="D319" s="24"/>
      <c r="E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</row>
    <row r="320" spans="1:23">
      <c r="A320" s="26"/>
      <c r="B320" s="24"/>
      <c r="C320" s="24"/>
      <c r="D320" s="24"/>
      <c r="E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</row>
    <row r="321" spans="1:23">
      <c r="A321" s="26"/>
      <c r="B321" s="24"/>
      <c r="C321" s="24"/>
      <c r="D321" s="24"/>
      <c r="E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</row>
    <row r="322" spans="1:23">
      <c r="A322" s="26"/>
      <c r="B322" s="24"/>
      <c r="C322" s="24"/>
      <c r="D322" s="24"/>
      <c r="E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</row>
    <row r="323" spans="1:23">
      <c r="A323" s="26"/>
      <c r="B323" s="24"/>
      <c r="C323" s="24"/>
      <c r="D323" s="24"/>
      <c r="E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</row>
    <row r="324" spans="1:23">
      <c r="A324" s="26"/>
      <c r="B324" s="24"/>
      <c r="C324" s="24"/>
      <c r="D324" s="24"/>
      <c r="E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</row>
    <row r="325" spans="1:23">
      <c r="A325" s="26"/>
      <c r="B325" s="24"/>
      <c r="C325" s="24"/>
      <c r="D325" s="24"/>
      <c r="E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</row>
    <row r="326" spans="1:23">
      <c r="A326" s="26"/>
      <c r="B326" s="24"/>
      <c r="C326" s="24"/>
      <c r="D326" s="24"/>
      <c r="E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</row>
    <row r="327" spans="1:23">
      <c r="A327" s="26"/>
      <c r="B327" s="24"/>
      <c r="C327" s="24"/>
      <c r="D327" s="24"/>
      <c r="E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</row>
    <row r="328" spans="1:23">
      <c r="A328" s="26"/>
      <c r="B328" s="24"/>
      <c r="C328" s="24"/>
      <c r="D328" s="24"/>
      <c r="E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</row>
    <row r="329" spans="1:23">
      <c r="A329" s="26"/>
      <c r="B329" s="24"/>
      <c r="C329" s="24"/>
      <c r="D329" s="24"/>
      <c r="E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</row>
    <row r="330" spans="1:23">
      <c r="A330" s="26"/>
      <c r="B330" s="24"/>
      <c r="C330" s="24"/>
      <c r="D330" s="24"/>
      <c r="E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</row>
    <row r="331" spans="1:23">
      <c r="A331" s="26"/>
      <c r="B331" s="24"/>
      <c r="C331" s="24"/>
      <c r="D331" s="24"/>
      <c r="E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</row>
    <row r="332" spans="1:23">
      <c r="A332" s="26"/>
      <c r="B332" s="24"/>
      <c r="C332" s="24"/>
      <c r="D332" s="24"/>
      <c r="E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</row>
    <row r="333" spans="1:23">
      <c r="A333" s="26"/>
      <c r="B333" s="24"/>
      <c r="C333" s="24"/>
      <c r="D333" s="24"/>
      <c r="E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</row>
    <row r="334" spans="1:23">
      <c r="A334" s="26"/>
      <c r="B334" s="24"/>
      <c r="C334" s="24"/>
      <c r="D334" s="24"/>
      <c r="E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</row>
    <row r="335" spans="1:23">
      <c r="A335" s="26"/>
      <c r="B335" s="24"/>
      <c r="C335" s="24"/>
      <c r="D335" s="24"/>
      <c r="E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</row>
    <row r="336" spans="1:23">
      <c r="A336" s="26"/>
      <c r="B336" s="24"/>
      <c r="C336" s="24"/>
      <c r="D336" s="24"/>
      <c r="E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</row>
    <row r="337" spans="1:23">
      <c r="A337" s="26"/>
      <c r="B337" s="24"/>
      <c r="C337" s="24"/>
      <c r="D337" s="24"/>
      <c r="E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</row>
    <row r="338" spans="1:23">
      <c r="A338" s="26"/>
      <c r="B338" s="24"/>
      <c r="C338" s="24"/>
      <c r="D338" s="24"/>
      <c r="E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</row>
    <row r="339" spans="1:23">
      <c r="A339" s="26"/>
      <c r="B339" s="24"/>
      <c r="C339" s="24"/>
      <c r="D339" s="24"/>
      <c r="E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</row>
    <row r="340" spans="1:23">
      <c r="A340" s="26"/>
      <c r="B340" s="24"/>
      <c r="C340" s="24"/>
      <c r="D340" s="24"/>
      <c r="E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</row>
    <row r="341" spans="1:23">
      <c r="A341" s="26"/>
      <c r="B341" s="24"/>
      <c r="C341" s="24"/>
      <c r="D341" s="24"/>
      <c r="E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</row>
    <row r="342" spans="1:23">
      <c r="A342" s="26"/>
      <c r="B342" s="24"/>
      <c r="C342" s="24"/>
      <c r="D342" s="24"/>
      <c r="E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</row>
    <row r="343" spans="1:23">
      <c r="A343" s="26"/>
      <c r="B343" s="24"/>
      <c r="C343" s="24"/>
      <c r="D343" s="24"/>
      <c r="E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</row>
    <row r="344" spans="1:23">
      <c r="A344" s="26"/>
      <c r="B344" s="24"/>
      <c r="C344" s="24"/>
      <c r="D344" s="24"/>
      <c r="E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</row>
    <row r="345" spans="1:23">
      <c r="A345" s="26"/>
      <c r="B345" s="24"/>
      <c r="C345" s="24"/>
      <c r="D345" s="24"/>
      <c r="E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</row>
    <row r="346" spans="1:23">
      <c r="A346" s="26"/>
      <c r="B346" s="24"/>
      <c r="C346" s="24"/>
      <c r="D346" s="24"/>
      <c r="E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</row>
    <row r="347" spans="1:23">
      <c r="A347" s="26"/>
      <c r="B347" s="24"/>
      <c r="C347" s="24"/>
      <c r="D347" s="24"/>
      <c r="E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</row>
    <row r="348" spans="1:23">
      <c r="A348" s="26"/>
      <c r="B348" s="24"/>
      <c r="C348" s="24"/>
      <c r="D348" s="24"/>
      <c r="E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</row>
    <row r="349" spans="1:23">
      <c r="A349" s="26"/>
      <c r="B349" s="24"/>
      <c r="C349" s="24"/>
      <c r="D349" s="24"/>
      <c r="E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</row>
    <row r="350" spans="1:23">
      <c r="A350" s="26"/>
      <c r="B350" s="24"/>
      <c r="C350" s="24"/>
      <c r="D350" s="24"/>
      <c r="E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</row>
    <row r="351" spans="1:23">
      <c r="A351" s="26"/>
      <c r="B351" s="24"/>
      <c r="C351" s="24"/>
      <c r="D351" s="24"/>
      <c r="E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</row>
    <row r="352" spans="1:23">
      <c r="A352" s="26"/>
      <c r="B352" s="24"/>
      <c r="C352" s="24"/>
      <c r="D352" s="24"/>
      <c r="E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</row>
    <row r="353" spans="1:23">
      <c r="A353" s="26"/>
      <c r="B353" s="24"/>
      <c r="C353" s="24"/>
      <c r="D353" s="24"/>
      <c r="E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</row>
    <row r="354" spans="1:23">
      <c r="A354" s="26"/>
      <c r="B354" s="24"/>
      <c r="C354" s="24"/>
      <c r="D354" s="24"/>
      <c r="E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</row>
    <row r="355" spans="1:23">
      <c r="A355" s="26"/>
      <c r="B355" s="24"/>
      <c r="C355" s="24"/>
      <c r="D355" s="24"/>
      <c r="E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</row>
    <row r="356" spans="1:23">
      <c r="A356" s="26"/>
      <c r="B356" s="24"/>
      <c r="C356" s="24"/>
      <c r="D356" s="24"/>
      <c r="E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</row>
    <row r="357" spans="1:23">
      <c r="A357" s="26"/>
      <c r="B357" s="24"/>
      <c r="C357" s="24"/>
      <c r="D357" s="24"/>
      <c r="E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</row>
    <row r="358" spans="1:23">
      <c r="A358" s="26"/>
      <c r="B358" s="24"/>
      <c r="C358" s="24"/>
      <c r="D358" s="24"/>
      <c r="E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</row>
    <row r="359" spans="1:23">
      <c r="A359" s="26"/>
      <c r="B359" s="24"/>
      <c r="C359" s="24"/>
      <c r="D359" s="24"/>
      <c r="E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</row>
    <row r="360" spans="1:23">
      <c r="A360" s="26"/>
      <c r="B360" s="24"/>
      <c r="C360" s="24"/>
      <c r="D360" s="24"/>
      <c r="E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</row>
    <row r="361" spans="1:23">
      <c r="A361" s="26"/>
      <c r="B361" s="24"/>
      <c r="C361" s="24"/>
      <c r="D361" s="24"/>
      <c r="E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</row>
    <row r="362" spans="1:23">
      <c r="A362" s="26"/>
      <c r="B362" s="24"/>
      <c r="C362" s="24"/>
      <c r="D362" s="24"/>
      <c r="E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</row>
    <row r="363" spans="1:23">
      <c r="A363" s="26"/>
      <c r="B363" s="24"/>
      <c r="C363" s="24"/>
      <c r="D363" s="24"/>
      <c r="E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</row>
    <row r="364" spans="1:23">
      <c r="A364" s="26"/>
      <c r="B364" s="24"/>
      <c r="C364" s="24"/>
      <c r="D364" s="24"/>
      <c r="E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</row>
    <row r="365" spans="1:23">
      <c r="A365" s="26"/>
      <c r="B365" s="24"/>
      <c r="C365" s="24"/>
      <c r="D365" s="24"/>
      <c r="E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</row>
    <row r="366" spans="1:23">
      <c r="A366" s="26"/>
      <c r="B366" s="24"/>
      <c r="C366" s="24"/>
      <c r="D366" s="24"/>
      <c r="E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</row>
    <row r="367" spans="1:23">
      <c r="A367" s="26"/>
      <c r="B367" s="24"/>
      <c r="C367" s="24"/>
      <c r="D367" s="24"/>
      <c r="E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</row>
    <row r="368" spans="1:23">
      <c r="A368" s="26"/>
      <c r="B368" s="24"/>
      <c r="C368" s="24"/>
      <c r="D368" s="24"/>
      <c r="E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</row>
    <row r="369" spans="1:23">
      <c r="A369" s="26"/>
      <c r="B369" s="24"/>
      <c r="C369" s="24"/>
      <c r="D369" s="24"/>
      <c r="E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</row>
    <row r="370" spans="1:23">
      <c r="A370" s="26"/>
      <c r="B370" s="24"/>
      <c r="C370" s="24"/>
      <c r="D370" s="24"/>
      <c r="E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</row>
    <row r="371" spans="1:23">
      <c r="A371" s="26"/>
      <c r="B371" s="24"/>
      <c r="C371" s="24"/>
      <c r="D371" s="24"/>
      <c r="E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</row>
    <row r="372" spans="1:23">
      <c r="A372" s="26"/>
      <c r="B372" s="24"/>
      <c r="C372" s="24"/>
      <c r="D372" s="24"/>
      <c r="E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</row>
    <row r="373" spans="1:23">
      <c r="A373" s="26"/>
      <c r="B373" s="24"/>
      <c r="C373" s="24"/>
      <c r="D373" s="24"/>
      <c r="E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</row>
    <row r="374" spans="1:23">
      <c r="A374" s="26"/>
      <c r="B374" s="24"/>
      <c r="C374" s="24"/>
      <c r="D374" s="24"/>
      <c r="E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</row>
    <row r="375" spans="1:23">
      <c r="A375" s="26"/>
      <c r="B375" s="24"/>
      <c r="C375" s="24"/>
      <c r="D375" s="24"/>
      <c r="E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</row>
    <row r="376" spans="1:23">
      <c r="A376" s="26"/>
      <c r="B376" s="24"/>
      <c r="C376" s="24"/>
      <c r="D376" s="24"/>
      <c r="E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</row>
    <row r="377" spans="1:23">
      <c r="A377" s="26"/>
      <c r="B377" s="24"/>
      <c r="C377" s="24"/>
      <c r="D377" s="24"/>
      <c r="E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</row>
    <row r="378" spans="1:23">
      <c r="A378" s="26"/>
      <c r="B378" s="24"/>
      <c r="C378" s="24"/>
      <c r="D378" s="24"/>
      <c r="E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</row>
    <row r="379" spans="1:23">
      <c r="A379" s="26"/>
      <c r="B379" s="24"/>
      <c r="C379" s="24"/>
      <c r="D379" s="24"/>
      <c r="E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</row>
    <row r="380" spans="1:23">
      <c r="A380" s="26"/>
      <c r="B380" s="24"/>
      <c r="C380" s="24"/>
      <c r="D380" s="24"/>
      <c r="E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</row>
    <row r="381" spans="1:23">
      <c r="A381" s="26"/>
      <c r="B381" s="24"/>
      <c r="C381" s="24"/>
      <c r="D381" s="24"/>
      <c r="E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</row>
    <row r="382" spans="1:23">
      <c r="A382" s="26"/>
      <c r="B382" s="24"/>
      <c r="C382" s="24"/>
      <c r="D382" s="24"/>
      <c r="E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</row>
    <row r="383" spans="1:23">
      <c r="A383" s="26"/>
      <c r="B383" s="24"/>
      <c r="C383" s="24"/>
      <c r="D383" s="24"/>
      <c r="E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</row>
    <row r="384" spans="1:23">
      <c r="A384" s="26"/>
      <c r="B384" s="24"/>
      <c r="C384" s="24"/>
      <c r="D384" s="24"/>
      <c r="E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</row>
    <row r="385" spans="1:23">
      <c r="A385" s="26"/>
      <c r="B385" s="24"/>
      <c r="C385" s="24"/>
      <c r="D385" s="24"/>
      <c r="E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</row>
    <row r="386" spans="1:23">
      <c r="A386" s="26"/>
      <c r="B386" s="24"/>
      <c r="C386" s="24"/>
      <c r="D386" s="24"/>
      <c r="E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</row>
    <row r="387" spans="1:23">
      <c r="A387" s="26"/>
      <c r="B387" s="24"/>
      <c r="C387" s="24"/>
      <c r="D387" s="24"/>
      <c r="E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</row>
    <row r="388" spans="1:23">
      <c r="A388" s="26"/>
      <c r="B388" s="24"/>
      <c r="C388" s="24"/>
      <c r="D388" s="24"/>
      <c r="E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</row>
    <row r="389" spans="1:23">
      <c r="A389" s="26"/>
      <c r="B389" s="24"/>
      <c r="C389" s="24"/>
      <c r="D389" s="24"/>
      <c r="E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</row>
    <row r="390" spans="1:23">
      <c r="A390" s="26"/>
      <c r="B390" s="24"/>
      <c r="C390" s="24"/>
      <c r="D390" s="24"/>
      <c r="E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</row>
    <row r="391" spans="1:23">
      <c r="A391" s="26"/>
      <c r="B391" s="24"/>
      <c r="C391" s="24"/>
      <c r="D391" s="24"/>
      <c r="E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</row>
    <row r="392" spans="1:23">
      <c r="A392" s="26"/>
      <c r="B392" s="24"/>
      <c r="C392" s="24"/>
      <c r="D392" s="24"/>
      <c r="E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</row>
    <row r="393" spans="1:23">
      <c r="A393" s="26"/>
      <c r="B393" s="24"/>
      <c r="C393" s="24"/>
      <c r="D393" s="24"/>
      <c r="E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</row>
    <row r="394" spans="1:23">
      <c r="A394" s="26"/>
      <c r="B394" s="24"/>
      <c r="C394" s="24"/>
      <c r="D394" s="24"/>
      <c r="E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</row>
    <row r="395" spans="1:23">
      <c r="A395" s="26"/>
      <c r="B395" s="24"/>
      <c r="C395" s="24"/>
      <c r="D395" s="24"/>
      <c r="E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</row>
    <row r="396" spans="1:23">
      <c r="A396" s="26"/>
      <c r="B396" s="24"/>
      <c r="C396" s="24"/>
      <c r="D396" s="24"/>
      <c r="E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</row>
    <row r="397" spans="1:23">
      <c r="A397" s="26"/>
      <c r="B397" s="24"/>
      <c r="C397" s="24"/>
      <c r="D397" s="24"/>
      <c r="E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</row>
    <row r="398" spans="1:23">
      <c r="A398" s="26"/>
      <c r="B398" s="24"/>
      <c r="C398" s="24"/>
      <c r="D398" s="24"/>
      <c r="E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</row>
    <row r="399" spans="1:23">
      <c r="A399" s="26"/>
      <c r="B399" s="24"/>
      <c r="C399" s="24"/>
      <c r="D399" s="24"/>
      <c r="E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</row>
    <row r="400" spans="1:23">
      <c r="A400" s="26"/>
      <c r="B400" s="24"/>
      <c r="C400" s="24"/>
      <c r="D400" s="24"/>
      <c r="E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</row>
    <row r="401" spans="1:23">
      <c r="A401" s="26"/>
      <c r="B401" s="24"/>
      <c r="C401" s="24"/>
      <c r="D401" s="24"/>
      <c r="E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</row>
    <row r="402" spans="1:23">
      <c r="A402" s="26"/>
      <c r="B402" s="24"/>
      <c r="C402" s="24"/>
      <c r="D402" s="24"/>
      <c r="E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</row>
    <row r="403" spans="1:23">
      <c r="A403" s="26"/>
      <c r="B403" s="24"/>
      <c r="C403" s="24"/>
      <c r="D403" s="24"/>
      <c r="E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</row>
    <row r="404" spans="1:23">
      <c r="A404" s="26"/>
      <c r="B404" s="24"/>
      <c r="C404" s="24"/>
      <c r="D404" s="24"/>
      <c r="E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</row>
    <row r="405" spans="1:23">
      <c r="A405" s="26"/>
      <c r="B405" s="24"/>
      <c r="C405" s="24"/>
      <c r="D405" s="24"/>
      <c r="E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</row>
    <row r="406" spans="1:23">
      <c r="A406" s="26"/>
      <c r="B406" s="24"/>
      <c r="C406" s="24"/>
      <c r="D406" s="24"/>
      <c r="E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</row>
    <row r="407" spans="1:23">
      <c r="A407" s="26"/>
      <c r="B407" s="24"/>
      <c r="C407" s="24"/>
      <c r="D407" s="24"/>
      <c r="E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</row>
    <row r="408" spans="1:23">
      <c r="A408" s="26"/>
      <c r="B408" s="24"/>
      <c r="C408" s="24"/>
      <c r="D408" s="24"/>
      <c r="E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</row>
    <row r="409" spans="1:23">
      <c r="A409" s="26"/>
      <c r="B409" s="24"/>
      <c r="C409" s="24"/>
      <c r="D409" s="24"/>
      <c r="E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</row>
    <row r="410" spans="1:23">
      <c r="A410" s="26"/>
      <c r="B410" s="24"/>
      <c r="C410" s="24"/>
      <c r="D410" s="24"/>
      <c r="E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</row>
    <row r="411" spans="1:23">
      <c r="A411" s="26"/>
      <c r="B411" s="24"/>
      <c r="C411" s="24"/>
      <c r="D411" s="24"/>
      <c r="E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</row>
    <row r="412" spans="1:23">
      <c r="A412" s="26"/>
      <c r="B412" s="24"/>
      <c r="C412" s="24"/>
      <c r="D412" s="24"/>
      <c r="E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</row>
    <row r="413" spans="1:23">
      <c r="A413" s="26"/>
      <c r="B413" s="24"/>
      <c r="C413" s="24"/>
      <c r="D413" s="24"/>
      <c r="E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</row>
    <row r="414" spans="1:23">
      <c r="A414" s="26"/>
      <c r="B414" s="24"/>
      <c r="C414" s="24"/>
      <c r="D414" s="24"/>
      <c r="E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</row>
    <row r="415" spans="1:23">
      <c r="A415" s="26"/>
      <c r="B415" s="24"/>
      <c r="C415" s="24"/>
      <c r="D415" s="24"/>
      <c r="E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</row>
    <row r="416" spans="1:23">
      <c r="A416" s="26"/>
      <c r="B416" s="24"/>
      <c r="C416" s="24"/>
      <c r="D416" s="24"/>
      <c r="E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</row>
    <row r="417" spans="1:23">
      <c r="A417" s="26"/>
      <c r="B417" s="24"/>
      <c r="C417" s="24"/>
      <c r="D417" s="24"/>
      <c r="E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</row>
    <row r="418" spans="1:23">
      <c r="A418" s="26"/>
      <c r="B418" s="24"/>
      <c r="C418" s="24"/>
      <c r="D418" s="24"/>
      <c r="E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</row>
    <row r="419" spans="1:23">
      <c r="A419" s="26"/>
      <c r="B419" s="24"/>
      <c r="C419" s="24"/>
      <c r="D419" s="24"/>
      <c r="E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</row>
    <row r="420" spans="1:23">
      <c r="A420" s="26"/>
      <c r="B420" s="24"/>
      <c r="C420" s="24"/>
      <c r="D420" s="24"/>
      <c r="E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</row>
    <row r="421" spans="1:23">
      <c r="A421" s="26"/>
      <c r="B421" s="24"/>
      <c r="C421" s="24"/>
      <c r="D421" s="24"/>
      <c r="E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</row>
    <row r="422" spans="1:23">
      <c r="A422" s="26"/>
      <c r="B422" s="24"/>
      <c r="C422" s="24"/>
      <c r="D422" s="24"/>
      <c r="E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</row>
    <row r="423" spans="1:23">
      <c r="A423" s="26"/>
      <c r="B423" s="24"/>
      <c r="C423" s="24"/>
      <c r="D423" s="24"/>
      <c r="E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</row>
    <row r="424" spans="1:23">
      <c r="A424" s="26"/>
      <c r="B424" s="24"/>
      <c r="C424" s="24"/>
      <c r="D424" s="24"/>
      <c r="E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</row>
    <row r="425" spans="1:23">
      <c r="A425" s="26"/>
      <c r="B425" s="24"/>
      <c r="C425" s="24"/>
      <c r="D425" s="24"/>
      <c r="E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</row>
    <row r="426" spans="1:23">
      <c r="A426" s="26"/>
      <c r="B426" s="24"/>
      <c r="C426" s="24"/>
      <c r="D426" s="24"/>
      <c r="E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</row>
    <row r="427" spans="1:23">
      <c r="A427" s="26"/>
      <c r="B427" s="24"/>
      <c r="C427" s="24"/>
      <c r="D427" s="24"/>
      <c r="E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</row>
    <row r="428" spans="1:23">
      <c r="A428" s="26"/>
      <c r="B428" s="24"/>
      <c r="C428" s="24"/>
      <c r="D428" s="24"/>
      <c r="E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</row>
    <row r="429" spans="1:23">
      <c r="A429" s="26"/>
      <c r="B429" s="24"/>
      <c r="C429" s="24"/>
      <c r="D429" s="24"/>
      <c r="E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</row>
    <row r="430" spans="1:23">
      <c r="A430" s="26"/>
      <c r="B430" s="24"/>
      <c r="C430" s="24"/>
      <c r="D430" s="24"/>
      <c r="E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</row>
    <row r="431" spans="1:23">
      <c r="A431" s="26"/>
      <c r="B431" s="24"/>
      <c r="C431" s="24"/>
      <c r="D431" s="24"/>
      <c r="E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</row>
    <row r="432" spans="1:23">
      <c r="A432" s="26"/>
      <c r="B432" s="24"/>
      <c r="C432" s="24"/>
      <c r="D432" s="24"/>
      <c r="E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</row>
    <row r="433" spans="1:23">
      <c r="A433" s="26"/>
      <c r="B433" s="24"/>
      <c r="C433" s="24"/>
      <c r="D433" s="24"/>
      <c r="E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</row>
    <row r="434" spans="1:23">
      <c r="A434" s="26"/>
      <c r="B434" s="24"/>
      <c r="C434" s="24"/>
      <c r="D434" s="24"/>
      <c r="E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</row>
    <row r="435" spans="1:23">
      <c r="A435" s="26"/>
      <c r="B435" s="24"/>
      <c r="C435" s="24"/>
      <c r="D435" s="24"/>
      <c r="E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</row>
    <row r="436" spans="1:23">
      <c r="A436" s="26"/>
      <c r="B436" s="24"/>
      <c r="C436" s="24"/>
      <c r="D436" s="24"/>
      <c r="E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</row>
    <row r="437" spans="1:23">
      <c r="A437" s="26"/>
      <c r="B437" s="24"/>
      <c r="C437" s="24"/>
      <c r="D437" s="24"/>
      <c r="E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</row>
    <row r="438" spans="1:23">
      <c r="A438" s="26"/>
      <c r="B438" s="24"/>
      <c r="C438" s="24"/>
      <c r="D438" s="24"/>
      <c r="E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</row>
    <row r="439" spans="1:23">
      <c r="A439" s="26"/>
      <c r="B439" s="24"/>
      <c r="C439" s="24"/>
      <c r="D439" s="24"/>
      <c r="E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</row>
    <row r="440" spans="1:23">
      <c r="A440" s="26"/>
      <c r="B440" s="24"/>
      <c r="C440" s="24"/>
      <c r="D440" s="24"/>
      <c r="E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</row>
    <row r="441" spans="1:23">
      <c r="A441" s="26"/>
      <c r="B441" s="24"/>
      <c r="C441" s="24"/>
      <c r="D441" s="24"/>
      <c r="E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</row>
    <row r="442" spans="1:23">
      <c r="A442" s="26"/>
      <c r="B442" s="24"/>
      <c r="C442" s="24"/>
      <c r="D442" s="24"/>
      <c r="E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</row>
    <row r="443" spans="1:23">
      <c r="A443" s="26"/>
      <c r="B443" s="24"/>
      <c r="C443" s="24"/>
      <c r="D443" s="24"/>
      <c r="E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</row>
    <row r="444" spans="1:23">
      <c r="A444" s="26"/>
      <c r="B444" s="24"/>
      <c r="C444" s="24"/>
      <c r="D444" s="24"/>
      <c r="E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</row>
    <row r="445" spans="1:23">
      <c r="A445" s="26"/>
      <c r="B445" s="24"/>
      <c r="C445" s="24"/>
      <c r="D445" s="24"/>
      <c r="E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</row>
    <row r="446" spans="1:23">
      <c r="A446" s="26"/>
      <c r="B446" s="24"/>
      <c r="C446" s="24"/>
      <c r="D446" s="24"/>
      <c r="E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</row>
    <row r="447" spans="1:23">
      <c r="A447" s="26"/>
      <c r="B447" s="24"/>
      <c r="C447" s="24"/>
      <c r="D447" s="24"/>
      <c r="E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</row>
    <row r="448" spans="1:23">
      <c r="A448" s="26"/>
      <c r="B448" s="24"/>
      <c r="C448" s="24"/>
      <c r="D448" s="24"/>
      <c r="E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</row>
    <row r="449" spans="1:23">
      <c r="A449" s="26"/>
      <c r="B449" s="24"/>
      <c r="C449" s="24"/>
      <c r="D449" s="24"/>
      <c r="E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</row>
    <row r="450" spans="1:23">
      <c r="A450" s="26"/>
      <c r="B450" s="24"/>
      <c r="C450" s="24"/>
      <c r="D450" s="24"/>
      <c r="E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</row>
    <row r="451" spans="1:23">
      <c r="A451" s="26"/>
      <c r="B451" s="24"/>
      <c r="C451" s="24"/>
      <c r="D451" s="24"/>
      <c r="E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</row>
    <row r="452" spans="1:23">
      <c r="A452" s="26"/>
      <c r="B452" s="24"/>
      <c r="C452" s="24"/>
      <c r="D452" s="24"/>
      <c r="E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</row>
    <row r="453" spans="1:23">
      <c r="A453" s="26"/>
      <c r="B453" s="24"/>
      <c r="C453" s="24"/>
      <c r="D453" s="24"/>
      <c r="E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</row>
    <row r="454" spans="1:23">
      <c r="A454" s="26"/>
      <c r="B454" s="24"/>
      <c r="C454" s="24"/>
      <c r="D454" s="24"/>
      <c r="E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</row>
    <row r="455" spans="1:23">
      <c r="A455" s="26"/>
      <c r="B455" s="24"/>
      <c r="C455" s="24"/>
      <c r="D455" s="24"/>
      <c r="E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</row>
    <row r="456" spans="1:23">
      <c r="A456" s="26"/>
      <c r="B456" s="24"/>
      <c r="C456" s="24"/>
      <c r="D456" s="24"/>
      <c r="E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</row>
    <row r="457" spans="1:23">
      <c r="A457" s="26"/>
      <c r="B457" s="24"/>
      <c r="C457" s="24"/>
      <c r="D457" s="24"/>
      <c r="E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</row>
    <row r="458" spans="1:23">
      <c r="A458" s="26"/>
      <c r="B458" s="24"/>
      <c r="C458" s="24"/>
      <c r="D458" s="24"/>
      <c r="E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</row>
    <row r="459" spans="1:23">
      <c r="A459" s="26"/>
      <c r="B459" s="24"/>
      <c r="C459" s="24"/>
      <c r="D459" s="24"/>
      <c r="E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</row>
    <row r="460" spans="1:23">
      <c r="A460" s="26"/>
      <c r="B460" s="24"/>
      <c r="C460" s="24"/>
      <c r="D460" s="24"/>
      <c r="E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</row>
    <row r="461" spans="1:23">
      <c r="A461" s="26"/>
      <c r="B461" s="24"/>
      <c r="C461" s="24"/>
      <c r="D461" s="24"/>
      <c r="E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</row>
    <row r="462" spans="1:23">
      <c r="A462" s="26"/>
      <c r="B462" s="24"/>
      <c r="C462" s="24"/>
      <c r="D462" s="24"/>
      <c r="E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</row>
    <row r="463" spans="1:23">
      <c r="A463" s="26"/>
      <c r="B463" s="24"/>
      <c r="C463" s="24"/>
      <c r="D463" s="24"/>
      <c r="E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</row>
    <row r="464" spans="1:23">
      <c r="A464" s="26"/>
      <c r="B464" s="24"/>
      <c r="C464" s="24"/>
      <c r="D464" s="24"/>
      <c r="E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</row>
    <row r="465" spans="1:23">
      <c r="A465" s="26"/>
      <c r="B465" s="24"/>
      <c r="C465" s="24"/>
      <c r="D465" s="24"/>
      <c r="E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</row>
    <row r="466" spans="1:23">
      <c r="A466" s="26"/>
      <c r="B466" s="24"/>
      <c r="C466" s="24"/>
      <c r="D466" s="24"/>
      <c r="E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</row>
    <row r="467" spans="1:23">
      <c r="A467" s="26"/>
      <c r="B467" s="24"/>
      <c r="C467" s="24"/>
      <c r="D467" s="24"/>
      <c r="E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</row>
    <row r="468" spans="1:23">
      <c r="A468" s="26"/>
      <c r="B468" s="24"/>
      <c r="C468" s="24"/>
      <c r="D468" s="24"/>
      <c r="E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</row>
    <row r="469" spans="1:23">
      <c r="A469" s="26"/>
      <c r="B469" s="24"/>
      <c r="C469" s="24"/>
      <c r="D469" s="24"/>
      <c r="E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</row>
    <row r="470" spans="1:23">
      <c r="A470" s="26"/>
      <c r="B470" s="24"/>
      <c r="C470" s="24"/>
      <c r="D470" s="24"/>
      <c r="E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</row>
    <row r="471" spans="1:23">
      <c r="A471" s="26"/>
      <c r="B471" s="24"/>
      <c r="C471" s="24"/>
      <c r="D471" s="24"/>
      <c r="E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</row>
    <row r="472" spans="1:23">
      <c r="A472" s="26"/>
      <c r="B472" s="24"/>
      <c r="C472" s="24"/>
      <c r="D472" s="24"/>
      <c r="E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</row>
    <row r="473" spans="1:23">
      <c r="A473" s="26"/>
      <c r="B473" s="24"/>
      <c r="C473" s="24"/>
      <c r="D473" s="24"/>
      <c r="E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</row>
    <row r="474" spans="1:23">
      <c r="A474" s="26"/>
      <c r="B474" s="24"/>
      <c r="C474" s="24"/>
      <c r="D474" s="24"/>
      <c r="E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</row>
    <row r="475" spans="1:23">
      <c r="A475" s="26"/>
      <c r="B475" s="24"/>
      <c r="C475" s="24"/>
      <c r="D475" s="24"/>
      <c r="E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</row>
    <row r="476" spans="1:23">
      <c r="A476" s="26"/>
      <c r="B476" s="24"/>
      <c r="C476" s="24"/>
      <c r="D476" s="24"/>
      <c r="E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</row>
    <row r="477" spans="1:23">
      <c r="A477" s="26"/>
      <c r="B477" s="24"/>
      <c r="C477" s="24"/>
      <c r="D477" s="24"/>
      <c r="E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</row>
    <row r="478" spans="1:23">
      <c r="A478" s="26"/>
      <c r="B478" s="24"/>
      <c r="C478" s="24"/>
      <c r="D478" s="24"/>
      <c r="E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</row>
    <row r="479" spans="1:23">
      <c r="A479" s="26"/>
      <c r="B479" s="24"/>
      <c r="C479" s="24"/>
      <c r="D479" s="24"/>
      <c r="E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</row>
    <row r="480" spans="1:23">
      <c r="A480" s="26"/>
      <c r="B480" s="24"/>
      <c r="C480" s="24"/>
      <c r="D480" s="24"/>
      <c r="E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</row>
    <row r="481" spans="1:23">
      <c r="A481" s="26"/>
      <c r="B481" s="24"/>
      <c r="C481" s="24"/>
      <c r="D481" s="24"/>
      <c r="E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</row>
    <row r="482" spans="1:23">
      <c r="A482" s="26"/>
      <c r="B482" s="24"/>
      <c r="C482" s="24"/>
      <c r="D482" s="24"/>
      <c r="E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</row>
    <row r="483" spans="1:23">
      <c r="A483" s="26"/>
      <c r="B483" s="24"/>
      <c r="C483" s="24"/>
      <c r="D483" s="24"/>
      <c r="E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</row>
    <row r="484" spans="1:23">
      <c r="A484" s="26"/>
      <c r="B484" s="24"/>
      <c r="C484" s="24"/>
      <c r="D484" s="24"/>
      <c r="E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</row>
    <row r="485" spans="1:23">
      <c r="A485" s="26"/>
      <c r="B485" s="24"/>
      <c r="C485" s="24"/>
      <c r="D485" s="24"/>
      <c r="E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</row>
    <row r="486" spans="1:23">
      <c r="A486" s="26"/>
      <c r="B486" s="24"/>
      <c r="C486" s="24"/>
      <c r="D486" s="24"/>
      <c r="E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</row>
    <row r="487" spans="1:23">
      <c r="A487" s="26"/>
      <c r="B487" s="24"/>
      <c r="C487" s="24"/>
      <c r="D487" s="24"/>
      <c r="E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</row>
    <row r="488" spans="1:23">
      <c r="A488" s="26"/>
      <c r="B488" s="24"/>
      <c r="C488" s="24"/>
      <c r="D488" s="24"/>
      <c r="E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</row>
    <row r="489" spans="1:23">
      <c r="A489" s="26"/>
      <c r="B489" s="24"/>
      <c r="C489" s="24"/>
      <c r="D489" s="24"/>
      <c r="E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</row>
    <row r="490" spans="1:23">
      <c r="A490" s="26"/>
      <c r="B490" s="24"/>
      <c r="C490" s="24"/>
      <c r="D490" s="24"/>
      <c r="E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</row>
    <row r="491" spans="1:23">
      <c r="A491" s="26"/>
      <c r="B491" s="24"/>
      <c r="C491" s="24"/>
      <c r="D491" s="24"/>
      <c r="E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</row>
    <row r="492" spans="1:23">
      <c r="A492" s="26"/>
      <c r="B492" s="24"/>
      <c r="C492" s="24"/>
      <c r="D492" s="24"/>
      <c r="E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</row>
    <row r="493" spans="1:23">
      <c r="A493" s="26"/>
      <c r="B493" s="24"/>
      <c r="C493" s="24"/>
      <c r="D493" s="24"/>
      <c r="E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</row>
    <row r="494" spans="1:23">
      <c r="A494" s="26"/>
      <c r="B494" s="24"/>
      <c r="C494" s="24"/>
      <c r="D494" s="24"/>
      <c r="E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</row>
    <row r="495" spans="1:23">
      <c r="A495" s="26"/>
      <c r="B495" s="24"/>
      <c r="C495" s="24"/>
      <c r="D495" s="24"/>
      <c r="E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</row>
    <row r="496" spans="1:23">
      <c r="A496" s="26"/>
      <c r="B496" s="24"/>
      <c r="C496" s="24"/>
      <c r="D496" s="24"/>
      <c r="E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</row>
    <row r="497" spans="1:23">
      <c r="A497" s="26"/>
      <c r="B497" s="24"/>
      <c r="C497" s="24"/>
      <c r="D497" s="24"/>
      <c r="E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</row>
    <row r="498" spans="1:23">
      <c r="A498" s="26"/>
      <c r="B498" s="24"/>
      <c r="C498" s="24"/>
      <c r="D498" s="24"/>
      <c r="E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</row>
    <row r="499" spans="1:23">
      <c r="A499" s="26"/>
      <c r="B499" s="24"/>
      <c r="C499" s="24"/>
      <c r="D499" s="24"/>
      <c r="E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</row>
    <row r="500" spans="1:23">
      <c r="A500" s="26"/>
      <c r="B500" s="24"/>
      <c r="C500" s="24"/>
      <c r="D500" s="24"/>
      <c r="E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</row>
    <row r="501" spans="1:23">
      <c r="A501" s="26"/>
      <c r="B501" s="24"/>
      <c r="C501" s="24"/>
      <c r="D501" s="24"/>
      <c r="E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</row>
    <row r="502" spans="1:23">
      <c r="A502" s="26"/>
      <c r="B502" s="24"/>
      <c r="C502" s="24"/>
      <c r="D502" s="24"/>
      <c r="E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</row>
    <row r="503" spans="1:23">
      <c r="A503" s="26"/>
      <c r="B503" s="24"/>
      <c r="C503" s="24"/>
      <c r="D503" s="24"/>
      <c r="E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</row>
    <row r="504" spans="1:23">
      <c r="A504" s="26"/>
      <c r="B504" s="24"/>
      <c r="C504" s="24"/>
      <c r="D504" s="24"/>
      <c r="E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</row>
    <row r="505" spans="1:23">
      <c r="A505" s="26"/>
      <c r="B505" s="24"/>
      <c r="C505" s="24"/>
      <c r="D505" s="24"/>
      <c r="E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</row>
    <row r="506" spans="1:23">
      <c r="A506" s="26"/>
      <c r="B506" s="24"/>
      <c r="C506" s="24"/>
      <c r="D506" s="24"/>
      <c r="E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</row>
    <row r="507" spans="1:23">
      <c r="A507" s="26"/>
      <c r="B507" s="24"/>
      <c r="C507" s="24"/>
      <c r="D507" s="24"/>
      <c r="E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</row>
    <row r="508" spans="1:23">
      <c r="A508" s="26"/>
      <c r="B508" s="24"/>
      <c r="C508" s="24"/>
      <c r="D508" s="24"/>
      <c r="E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</row>
    <row r="509" spans="1:23">
      <c r="A509" s="26"/>
      <c r="B509" s="24"/>
      <c r="C509" s="24"/>
      <c r="D509" s="24"/>
      <c r="E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</row>
    <row r="510" spans="1:23">
      <c r="A510" s="26"/>
      <c r="B510" s="24"/>
      <c r="C510" s="24"/>
      <c r="D510" s="24"/>
      <c r="E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</row>
    <row r="511" spans="1:23">
      <c r="A511" s="26"/>
      <c r="B511" s="24"/>
      <c r="C511" s="24"/>
      <c r="D511" s="24"/>
      <c r="E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</row>
    <row r="512" spans="1:23">
      <c r="A512" s="26"/>
      <c r="B512" s="24"/>
      <c r="C512" s="24"/>
      <c r="D512" s="24"/>
      <c r="E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</row>
    <row r="513" spans="1:23">
      <c r="A513" s="26"/>
      <c r="B513" s="24"/>
      <c r="C513" s="24"/>
      <c r="D513" s="24"/>
      <c r="E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</row>
    <row r="514" spans="1:23">
      <c r="A514" s="26"/>
      <c r="B514" s="24"/>
      <c r="C514" s="24"/>
      <c r="D514" s="24"/>
      <c r="E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</row>
    <row r="515" spans="1:23">
      <c r="A515" s="26"/>
      <c r="B515" s="24"/>
      <c r="C515" s="24"/>
      <c r="D515" s="24"/>
      <c r="E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</row>
    <row r="516" spans="1:23">
      <c r="A516" s="26"/>
      <c r="B516" s="24"/>
      <c r="C516" s="24"/>
      <c r="D516" s="24"/>
      <c r="E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</row>
    <row r="517" spans="1:23">
      <c r="A517" s="26"/>
      <c r="B517" s="24"/>
      <c r="C517" s="24"/>
      <c r="D517" s="24"/>
      <c r="E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</row>
    <row r="518" spans="1:23">
      <c r="A518" s="26"/>
      <c r="B518" s="24"/>
      <c r="C518" s="24"/>
      <c r="D518" s="24"/>
      <c r="E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</row>
    <row r="519" spans="1:23">
      <c r="A519" s="26"/>
      <c r="B519" s="24"/>
      <c r="C519" s="24"/>
      <c r="D519" s="24"/>
      <c r="E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</row>
    <row r="520" spans="1:23">
      <c r="A520" s="26"/>
      <c r="B520" s="24"/>
      <c r="C520" s="24"/>
      <c r="D520" s="24"/>
      <c r="E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</row>
    <row r="521" spans="1:23">
      <c r="A521" s="26"/>
      <c r="B521" s="24"/>
      <c r="C521" s="24"/>
      <c r="D521" s="24"/>
      <c r="E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</row>
    <row r="522" spans="1:23">
      <c r="A522" s="26"/>
      <c r="B522" s="24"/>
      <c r="C522" s="24"/>
      <c r="D522" s="24"/>
      <c r="E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</row>
    <row r="523" spans="1:23">
      <c r="A523" s="26"/>
      <c r="B523" s="24"/>
      <c r="C523" s="24"/>
      <c r="D523" s="24"/>
      <c r="E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</row>
    <row r="524" spans="1:23">
      <c r="A524" s="26"/>
      <c r="B524" s="24"/>
      <c r="C524" s="24"/>
      <c r="D524" s="24"/>
      <c r="E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</row>
    <row r="525" spans="1:23">
      <c r="A525" s="26"/>
      <c r="B525" s="24"/>
      <c r="C525" s="24"/>
      <c r="D525" s="24"/>
      <c r="E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</row>
    <row r="526" spans="1:23">
      <c r="A526" s="26"/>
      <c r="B526" s="24"/>
      <c r="C526" s="24"/>
      <c r="D526" s="24"/>
      <c r="E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</row>
    <row r="527" spans="1:23">
      <c r="A527" s="26"/>
      <c r="B527" s="24"/>
      <c r="C527" s="24"/>
      <c r="D527" s="24"/>
      <c r="E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</row>
    <row r="528" spans="1:23">
      <c r="A528" s="26"/>
      <c r="B528" s="24"/>
      <c r="C528" s="24"/>
      <c r="D528" s="24"/>
      <c r="E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</row>
    <row r="529" spans="1:23">
      <c r="A529" s="26"/>
      <c r="B529" s="24"/>
      <c r="C529" s="24"/>
      <c r="D529" s="24"/>
      <c r="E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</row>
    <row r="530" spans="1:23">
      <c r="A530" s="26"/>
      <c r="B530" s="24"/>
      <c r="C530" s="24"/>
      <c r="D530" s="24"/>
      <c r="E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</row>
    <row r="531" spans="1:23">
      <c r="A531" s="26"/>
      <c r="B531" s="24"/>
      <c r="C531" s="24"/>
      <c r="D531" s="24"/>
      <c r="E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</row>
    <row r="532" spans="1:23">
      <c r="A532" s="26"/>
      <c r="B532" s="24"/>
      <c r="C532" s="24"/>
      <c r="D532" s="24"/>
      <c r="E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</row>
    <row r="533" spans="1:23">
      <c r="A533" s="26"/>
      <c r="B533" s="24"/>
      <c r="C533" s="24"/>
      <c r="D533" s="24"/>
      <c r="E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</row>
    <row r="534" spans="1:23">
      <c r="A534" s="26"/>
      <c r="B534" s="24"/>
      <c r="C534" s="24"/>
      <c r="D534" s="24"/>
      <c r="E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</row>
    <row r="535" spans="1:23">
      <c r="A535" s="26"/>
      <c r="B535" s="24"/>
      <c r="C535" s="24"/>
      <c r="D535" s="24"/>
      <c r="E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</row>
    <row r="536" spans="1:23">
      <c r="A536" s="26"/>
      <c r="B536" s="24"/>
      <c r="C536" s="24"/>
      <c r="D536" s="24"/>
      <c r="E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</row>
    <row r="537" spans="1:23">
      <c r="A537" s="26"/>
      <c r="B537" s="24"/>
      <c r="C537" s="24"/>
      <c r="D537" s="24"/>
      <c r="E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</row>
    <row r="538" spans="1:23">
      <c r="A538" s="26"/>
      <c r="B538" s="24"/>
      <c r="C538" s="24"/>
      <c r="D538" s="24"/>
      <c r="E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</row>
    <row r="539" spans="1:23">
      <c r="A539" s="26"/>
      <c r="B539" s="24"/>
      <c r="C539" s="24"/>
      <c r="D539" s="24"/>
      <c r="E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</row>
    <row r="540" spans="1:23">
      <c r="A540" s="26"/>
      <c r="B540" s="24"/>
      <c r="C540" s="24"/>
      <c r="D540" s="24"/>
      <c r="E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</row>
    <row r="541" spans="1:23">
      <c r="A541" s="26"/>
      <c r="B541" s="24"/>
      <c r="C541" s="24"/>
      <c r="D541" s="24"/>
      <c r="E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</row>
    <row r="542" spans="1:23">
      <c r="A542" s="26"/>
      <c r="B542" s="24"/>
      <c r="C542" s="24"/>
      <c r="D542" s="24"/>
      <c r="E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</row>
    <row r="543" spans="1:23">
      <c r="A543" s="26"/>
      <c r="B543" s="24"/>
      <c r="C543" s="24"/>
      <c r="D543" s="24"/>
      <c r="E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</row>
    <row r="544" spans="1:23">
      <c r="A544" s="26"/>
      <c r="B544" s="24"/>
      <c r="C544" s="24"/>
      <c r="D544" s="24"/>
      <c r="E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</row>
    <row r="545" spans="1:23">
      <c r="A545" s="26"/>
      <c r="B545" s="24"/>
      <c r="C545" s="24"/>
      <c r="D545" s="24"/>
      <c r="E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</row>
    <row r="546" spans="1:23">
      <c r="A546" s="26"/>
      <c r="B546" s="24"/>
      <c r="C546" s="24"/>
      <c r="D546" s="24"/>
      <c r="E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</row>
    <row r="547" spans="1:23">
      <c r="A547" s="26"/>
      <c r="B547" s="24"/>
      <c r="C547" s="24"/>
      <c r="D547" s="24"/>
      <c r="E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</row>
    <row r="548" spans="1:23">
      <c r="A548" s="26"/>
      <c r="B548" s="24"/>
      <c r="C548" s="24"/>
      <c r="D548" s="24"/>
      <c r="E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</row>
    <row r="549" spans="1:23">
      <c r="A549" s="26"/>
      <c r="B549" s="24"/>
      <c r="C549" s="24"/>
      <c r="D549" s="24"/>
      <c r="E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</row>
    <row r="550" spans="1:23">
      <c r="A550" s="26"/>
      <c r="B550" s="24"/>
      <c r="C550" s="24"/>
      <c r="D550" s="24"/>
      <c r="E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</row>
    <row r="551" spans="1:23">
      <c r="A551" s="26"/>
      <c r="B551" s="24"/>
      <c r="C551" s="24"/>
      <c r="D551" s="24"/>
      <c r="E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</row>
    <row r="552" spans="1:23">
      <c r="A552" s="26"/>
      <c r="B552" s="24"/>
      <c r="C552" s="24"/>
      <c r="D552" s="24"/>
      <c r="E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</row>
    <row r="553" spans="1:23">
      <c r="A553" s="26"/>
      <c r="B553" s="24"/>
      <c r="C553" s="24"/>
      <c r="D553" s="24"/>
      <c r="E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</row>
    <row r="554" spans="1:23">
      <c r="A554" s="26"/>
      <c r="B554" s="24"/>
      <c r="C554" s="24"/>
      <c r="D554" s="24"/>
      <c r="E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</row>
    <row r="555" spans="1:23">
      <c r="A555" s="26"/>
      <c r="B555" s="24"/>
      <c r="C555" s="24"/>
      <c r="D555" s="24"/>
      <c r="E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</row>
    <row r="556" spans="1:23">
      <c r="A556" s="26"/>
      <c r="B556" s="24"/>
      <c r="C556" s="24"/>
      <c r="D556" s="24"/>
      <c r="E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</row>
    <row r="557" spans="1:23">
      <c r="A557" s="26"/>
      <c r="B557" s="24"/>
      <c r="C557" s="24"/>
      <c r="D557" s="24"/>
      <c r="E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</row>
    <row r="558" spans="1:23">
      <c r="A558" s="26"/>
      <c r="B558" s="24"/>
      <c r="C558" s="24"/>
      <c r="D558" s="24"/>
      <c r="E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</row>
    <row r="559" spans="1:23">
      <c r="A559" s="26"/>
      <c r="B559" s="24"/>
      <c r="C559" s="24"/>
      <c r="D559" s="24"/>
      <c r="E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</row>
    <row r="560" spans="1:23">
      <c r="A560" s="26"/>
      <c r="B560" s="24"/>
      <c r="C560" s="24"/>
      <c r="D560" s="24"/>
      <c r="E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</row>
    <row r="561" spans="1:23">
      <c r="A561" s="26"/>
      <c r="B561" s="24"/>
      <c r="C561" s="24"/>
      <c r="D561" s="24"/>
      <c r="E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</row>
    <row r="562" spans="1:23">
      <c r="A562" s="26"/>
      <c r="B562" s="24"/>
      <c r="C562" s="24"/>
      <c r="D562" s="24"/>
      <c r="E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</row>
    <row r="563" spans="1:23">
      <c r="A563" s="26"/>
      <c r="B563" s="24"/>
      <c r="C563" s="24"/>
      <c r="D563" s="24"/>
      <c r="E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</row>
    <row r="564" spans="1:23">
      <c r="A564" s="26"/>
      <c r="B564" s="24"/>
      <c r="C564" s="24"/>
      <c r="D564" s="24"/>
      <c r="E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</row>
    <row r="565" spans="1:23">
      <c r="A565" s="26"/>
      <c r="B565" s="24"/>
      <c r="C565" s="24"/>
      <c r="D565" s="24"/>
      <c r="E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</row>
    <row r="566" spans="1:23">
      <c r="A566" s="26"/>
      <c r="B566" s="24"/>
      <c r="C566" s="24"/>
      <c r="D566" s="24"/>
      <c r="E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</row>
    <row r="567" spans="1:23">
      <c r="A567" s="26"/>
      <c r="B567" s="24"/>
      <c r="C567" s="24"/>
      <c r="D567" s="24"/>
      <c r="E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</row>
    <row r="568" spans="1:23">
      <c r="A568" s="26"/>
      <c r="B568" s="24"/>
      <c r="C568" s="24"/>
      <c r="D568" s="24"/>
      <c r="E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</row>
    <row r="569" spans="1:23">
      <c r="A569" s="26"/>
      <c r="B569" s="24"/>
      <c r="C569" s="24"/>
      <c r="D569" s="24"/>
      <c r="E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</row>
    <row r="570" spans="1:23">
      <c r="A570" s="26"/>
      <c r="B570" s="24"/>
      <c r="C570" s="24"/>
      <c r="D570" s="24"/>
      <c r="E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</row>
    <row r="571" spans="1:23">
      <c r="A571" s="26"/>
      <c r="B571" s="24"/>
      <c r="C571" s="24"/>
      <c r="D571" s="24"/>
      <c r="E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</row>
    <row r="572" spans="1:23">
      <c r="A572" s="26"/>
      <c r="B572" s="24"/>
      <c r="C572" s="24"/>
      <c r="D572" s="24"/>
      <c r="E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</row>
    <row r="573" spans="1:23">
      <c r="A573" s="26"/>
      <c r="B573" s="24"/>
      <c r="C573" s="24"/>
      <c r="D573" s="24"/>
      <c r="E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</row>
    <row r="574" spans="1:23">
      <c r="A574" s="26"/>
      <c r="B574" s="24"/>
      <c r="C574" s="24"/>
      <c r="D574" s="24"/>
      <c r="E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</row>
    <row r="575" spans="1:23">
      <c r="A575" s="26"/>
      <c r="B575" s="24"/>
      <c r="C575" s="24"/>
      <c r="D575" s="24"/>
      <c r="E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</row>
    <row r="576" spans="1:23">
      <c r="A576" s="26"/>
      <c r="B576" s="24"/>
      <c r="C576" s="24"/>
      <c r="D576" s="24"/>
      <c r="E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</row>
    <row r="577" spans="1:23">
      <c r="A577" s="26"/>
      <c r="B577" s="24"/>
      <c r="C577" s="24"/>
      <c r="D577" s="24"/>
      <c r="E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</row>
    <row r="578" spans="1:23">
      <c r="A578" s="26"/>
      <c r="B578" s="24"/>
      <c r="C578" s="24"/>
      <c r="D578" s="24"/>
      <c r="E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</row>
    <row r="579" spans="1:23">
      <c r="A579" s="26"/>
      <c r="B579" s="24"/>
      <c r="C579" s="24"/>
      <c r="D579" s="24"/>
      <c r="E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</row>
    <row r="580" spans="1:23">
      <c r="A580" s="26"/>
      <c r="B580" s="24"/>
      <c r="C580" s="24"/>
      <c r="D580" s="24"/>
      <c r="E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</row>
    <row r="581" spans="1:23">
      <c r="A581" s="26"/>
      <c r="B581" s="24"/>
      <c r="C581" s="24"/>
      <c r="D581" s="24"/>
      <c r="E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</row>
    <row r="582" spans="1:23">
      <c r="A582" s="26"/>
      <c r="B582" s="24"/>
      <c r="C582" s="24"/>
      <c r="D582" s="24"/>
      <c r="E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</row>
    <row r="583" spans="1:23">
      <c r="A583" s="26"/>
      <c r="B583" s="24"/>
      <c r="C583" s="24"/>
      <c r="D583" s="24"/>
      <c r="E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</row>
    <row r="584" spans="1:23">
      <c r="A584" s="26"/>
      <c r="B584" s="24"/>
      <c r="C584" s="24"/>
      <c r="D584" s="24"/>
      <c r="E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</row>
    <row r="585" spans="1:23">
      <c r="A585" s="26"/>
      <c r="B585" s="24"/>
      <c r="C585" s="24"/>
      <c r="D585" s="24"/>
      <c r="E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</row>
    <row r="586" spans="1:23">
      <c r="A586" s="26"/>
      <c r="B586" s="24"/>
      <c r="C586" s="24"/>
      <c r="D586" s="24"/>
      <c r="E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</row>
    <row r="587" spans="1:23">
      <c r="A587" s="26"/>
      <c r="B587" s="24"/>
      <c r="C587" s="24"/>
      <c r="D587" s="24"/>
      <c r="E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</row>
    <row r="588" spans="1:23">
      <c r="A588" s="26"/>
      <c r="B588" s="24"/>
      <c r="C588" s="24"/>
      <c r="D588" s="24"/>
      <c r="E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</row>
    <row r="589" spans="1:23">
      <c r="A589" s="26"/>
      <c r="B589" s="24"/>
      <c r="C589" s="24"/>
      <c r="D589" s="24"/>
      <c r="E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</row>
    <row r="590" spans="1:23">
      <c r="A590" s="26"/>
      <c r="B590" s="24"/>
      <c r="C590" s="24"/>
      <c r="D590" s="24"/>
      <c r="E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</row>
    <row r="591" spans="1:23">
      <c r="A591" s="26"/>
      <c r="B591" s="24"/>
      <c r="C591" s="24"/>
      <c r="D591" s="24"/>
      <c r="E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</row>
    <row r="592" spans="1:23">
      <c r="A592" s="26"/>
      <c r="B592" s="24"/>
      <c r="C592" s="24"/>
      <c r="D592" s="24"/>
      <c r="E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</row>
    <row r="593" spans="1:23">
      <c r="A593" s="26"/>
      <c r="B593" s="24"/>
      <c r="C593" s="24"/>
      <c r="D593" s="24"/>
      <c r="E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</row>
    <row r="594" spans="1:23">
      <c r="A594" s="26"/>
      <c r="B594" s="24"/>
      <c r="C594" s="24"/>
      <c r="D594" s="24"/>
      <c r="E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</row>
    <row r="595" spans="1:23">
      <c r="A595" s="26"/>
      <c r="B595" s="24"/>
      <c r="C595" s="24"/>
      <c r="D595" s="24"/>
      <c r="E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</row>
    <row r="596" spans="1:23">
      <c r="A596" s="26"/>
      <c r="B596" s="24"/>
      <c r="C596" s="24"/>
      <c r="D596" s="24"/>
      <c r="E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</row>
    <row r="597" spans="1:23">
      <c r="A597" s="26"/>
      <c r="B597" s="24"/>
      <c r="C597" s="24"/>
      <c r="D597" s="24"/>
      <c r="E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</row>
    <row r="598" spans="1:23">
      <c r="A598" s="26"/>
      <c r="B598" s="24"/>
      <c r="C598" s="24"/>
      <c r="D598" s="24"/>
      <c r="E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</row>
    <row r="599" spans="1:23">
      <c r="A599" s="26"/>
      <c r="B599" s="24"/>
      <c r="C599" s="24"/>
      <c r="D599" s="24"/>
      <c r="E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</row>
    <row r="600" spans="1:23">
      <c r="A600" s="26"/>
      <c r="B600" s="24"/>
      <c r="C600" s="24"/>
      <c r="D600" s="24"/>
      <c r="E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</row>
    <row r="601" spans="1:23">
      <c r="A601" s="26"/>
      <c r="B601" s="24"/>
      <c r="C601" s="24"/>
      <c r="D601" s="24"/>
      <c r="E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</row>
    <row r="602" spans="1:23">
      <c r="A602" s="26"/>
      <c r="B602" s="24"/>
      <c r="C602" s="24"/>
      <c r="D602" s="24"/>
      <c r="E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</row>
    <row r="603" spans="1:23">
      <c r="A603" s="26"/>
      <c r="B603" s="24"/>
      <c r="C603" s="24"/>
      <c r="D603" s="24"/>
      <c r="E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</row>
    <row r="604" spans="1:23">
      <c r="A604" s="26"/>
      <c r="B604" s="24"/>
      <c r="C604" s="24"/>
      <c r="D604" s="24"/>
      <c r="E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</row>
    <row r="605" spans="1:23">
      <c r="A605" s="26"/>
      <c r="B605" s="24"/>
      <c r="C605" s="24"/>
      <c r="D605" s="24"/>
      <c r="E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</row>
    <row r="606" spans="1:23">
      <c r="A606" s="26"/>
      <c r="B606" s="24"/>
      <c r="C606" s="24"/>
      <c r="D606" s="24"/>
      <c r="E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</row>
    <row r="607" spans="1:23">
      <c r="A607" s="26"/>
      <c r="B607" s="24"/>
      <c r="C607" s="24"/>
      <c r="D607" s="24"/>
      <c r="E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</row>
    <row r="608" spans="1:23">
      <c r="A608" s="26"/>
      <c r="B608" s="24"/>
      <c r="C608" s="24"/>
      <c r="D608" s="24"/>
      <c r="E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</row>
    <row r="609" spans="1:23">
      <c r="A609" s="26"/>
      <c r="B609" s="24"/>
      <c r="C609" s="24"/>
      <c r="D609" s="24"/>
      <c r="E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</row>
    <row r="610" spans="1:23">
      <c r="A610" s="26"/>
      <c r="B610" s="24"/>
      <c r="C610" s="24"/>
      <c r="D610" s="24"/>
      <c r="E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</row>
    <row r="611" spans="1:23">
      <c r="A611" s="26"/>
      <c r="B611" s="24"/>
      <c r="C611" s="24"/>
      <c r="D611" s="24"/>
      <c r="E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</row>
    <row r="612" spans="1:23">
      <c r="A612" s="26"/>
      <c r="B612" s="24"/>
      <c r="C612" s="24"/>
      <c r="D612" s="24"/>
      <c r="E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</row>
    <row r="613" spans="1:23">
      <c r="A613" s="26"/>
      <c r="B613" s="24"/>
      <c r="C613" s="24"/>
      <c r="D613" s="24"/>
      <c r="E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</row>
    <row r="614" spans="1:23">
      <c r="A614" s="26"/>
      <c r="B614" s="24"/>
      <c r="C614" s="24"/>
      <c r="D614" s="24"/>
      <c r="E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</row>
    <row r="615" spans="1:23">
      <c r="A615" s="26"/>
      <c r="B615" s="24"/>
      <c r="C615" s="24"/>
      <c r="D615" s="24"/>
      <c r="E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</row>
    <row r="616" spans="1:23">
      <c r="A616" s="26"/>
      <c r="B616" s="24"/>
      <c r="C616" s="24"/>
      <c r="D616" s="24"/>
      <c r="E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</row>
    <row r="617" spans="1:23">
      <c r="A617" s="26"/>
      <c r="B617" s="24"/>
      <c r="C617" s="24"/>
      <c r="D617" s="24"/>
      <c r="E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</row>
    <row r="618" spans="1:23">
      <c r="A618" s="26"/>
      <c r="B618" s="24"/>
      <c r="C618" s="24"/>
      <c r="D618" s="24"/>
      <c r="E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</row>
    <row r="619" spans="1:23">
      <c r="A619" s="26"/>
      <c r="B619" s="24"/>
      <c r="C619" s="24"/>
      <c r="D619" s="24"/>
      <c r="E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</row>
    <row r="620" spans="1:23">
      <c r="A620" s="26"/>
      <c r="B620" s="24"/>
      <c r="C620" s="24"/>
      <c r="D620" s="24"/>
      <c r="E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</row>
    <row r="621" spans="1:23">
      <c r="A621" s="26"/>
      <c r="B621" s="24"/>
      <c r="C621" s="24"/>
      <c r="D621" s="24"/>
      <c r="E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</row>
    <row r="622" spans="1:23">
      <c r="A622" s="26"/>
      <c r="B622" s="24"/>
      <c r="C622" s="24"/>
      <c r="D622" s="24"/>
      <c r="E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</row>
    <row r="623" spans="1:23">
      <c r="A623" s="26"/>
      <c r="B623" s="24"/>
      <c r="C623" s="24"/>
      <c r="D623" s="24"/>
      <c r="E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</row>
    <row r="624" spans="1:23">
      <c r="A624" s="26"/>
      <c r="B624" s="24"/>
      <c r="C624" s="24"/>
      <c r="D624" s="24"/>
      <c r="E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</row>
    <row r="625" spans="1:23">
      <c r="A625" s="26"/>
      <c r="B625" s="24"/>
      <c r="C625" s="24"/>
      <c r="D625" s="24"/>
      <c r="E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</row>
    <row r="626" spans="1:23">
      <c r="A626" s="26"/>
      <c r="B626" s="24"/>
      <c r="C626" s="24"/>
      <c r="D626" s="24"/>
      <c r="E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</row>
    <row r="627" spans="1:23">
      <c r="A627" s="26"/>
      <c r="B627" s="24"/>
      <c r="C627" s="24"/>
      <c r="D627" s="24"/>
      <c r="E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</row>
    <row r="628" spans="1:23">
      <c r="A628" s="26"/>
      <c r="B628" s="24"/>
      <c r="C628" s="24"/>
      <c r="D628" s="24"/>
      <c r="E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</row>
    <row r="629" spans="1:23">
      <c r="A629" s="26"/>
      <c r="B629" s="24"/>
      <c r="C629" s="24"/>
      <c r="D629" s="24"/>
      <c r="E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</row>
    <row r="630" spans="1:23">
      <c r="A630" s="26"/>
      <c r="B630" s="24"/>
      <c r="C630" s="24"/>
      <c r="D630" s="24"/>
      <c r="E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</row>
    <row r="631" spans="1:23">
      <c r="A631" s="26"/>
      <c r="B631" s="24"/>
      <c r="C631" s="24"/>
      <c r="D631" s="24"/>
      <c r="E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</row>
    <row r="632" spans="1:23">
      <c r="A632" s="26"/>
      <c r="B632" s="24"/>
      <c r="C632" s="24"/>
      <c r="D632" s="24"/>
      <c r="E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</row>
    <row r="633" spans="1:23">
      <c r="A633" s="26"/>
      <c r="B633" s="24"/>
      <c r="C633" s="24"/>
      <c r="D633" s="24"/>
      <c r="E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</row>
    <row r="634" spans="1:23">
      <c r="A634" s="26"/>
      <c r="B634" s="24"/>
      <c r="C634" s="24"/>
      <c r="D634" s="24"/>
      <c r="E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</row>
    <row r="635" spans="1:23">
      <c r="A635" s="26"/>
      <c r="B635" s="24"/>
      <c r="C635" s="24"/>
      <c r="D635" s="24"/>
      <c r="E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</row>
    <row r="636" spans="1:23">
      <c r="A636" s="26"/>
      <c r="B636" s="24"/>
      <c r="C636" s="24"/>
      <c r="D636" s="24"/>
      <c r="E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</row>
    <row r="637" spans="1:23">
      <c r="A637" s="26"/>
      <c r="B637" s="24"/>
      <c r="C637" s="24"/>
      <c r="D637" s="24"/>
      <c r="E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</row>
    <row r="638" spans="1:23">
      <c r="A638" s="26"/>
      <c r="B638" s="24"/>
      <c r="C638" s="24"/>
      <c r="D638" s="24"/>
      <c r="E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</row>
    <row r="639" spans="1:23">
      <c r="A639" s="26"/>
      <c r="B639" s="24"/>
      <c r="C639" s="24"/>
      <c r="D639" s="24"/>
      <c r="E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</row>
    <row r="640" spans="1:23">
      <c r="A640" s="26"/>
      <c r="B640" s="24"/>
      <c r="C640" s="24"/>
      <c r="D640" s="24"/>
      <c r="E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</row>
    <row r="641" spans="1:23">
      <c r="A641" s="26"/>
      <c r="B641" s="24"/>
      <c r="C641" s="24"/>
      <c r="D641" s="24"/>
      <c r="E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</row>
    <row r="642" spans="1:23">
      <c r="A642" s="26"/>
      <c r="B642" s="24"/>
      <c r="C642" s="24"/>
      <c r="D642" s="24"/>
      <c r="E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</row>
    <row r="643" spans="1:23">
      <c r="A643" s="26"/>
      <c r="B643" s="24"/>
      <c r="C643" s="24"/>
      <c r="D643" s="24"/>
      <c r="E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</row>
    <row r="644" spans="1:23">
      <c r="A644" s="26"/>
      <c r="B644" s="24"/>
      <c r="C644" s="24"/>
      <c r="D644" s="24"/>
      <c r="E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</row>
    <row r="645" spans="1:23">
      <c r="A645" s="26"/>
      <c r="B645" s="24"/>
      <c r="C645" s="24"/>
      <c r="D645" s="24"/>
      <c r="E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</row>
    <row r="646" spans="1:23">
      <c r="A646" s="26"/>
      <c r="B646" s="24"/>
      <c r="C646" s="24"/>
      <c r="D646" s="24"/>
      <c r="E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</row>
    <row r="647" spans="1:23">
      <c r="A647" s="26"/>
      <c r="B647" s="24"/>
      <c r="C647" s="24"/>
      <c r="D647" s="24"/>
      <c r="E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</row>
    <row r="648" spans="1:23">
      <c r="A648" s="26"/>
      <c r="B648" s="24"/>
      <c r="C648" s="24"/>
      <c r="D648" s="24"/>
      <c r="E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</row>
    <row r="649" spans="1:23">
      <c r="A649" s="26"/>
      <c r="B649" s="24"/>
      <c r="C649" s="24"/>
      <c r="D649" s="24"/>
      <c r="E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</row>
    <row r="650" spans="1:23">
      <c r="A650" s="26"/>
      <c r="B650" s="24"/>
      <c r="C650" s="24"/>
      <c r="D650" s="24"/>
      <c r="E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</row>
    <row r="651" spans="1:23">
      <c r="A651" s="26"/>
      <c r="B651" s="24"/>
      <c r="C651" s="24"/>
      <c r="D651" s="24"/>
      <c r="E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</row>
    <row r="652" spans="1:23">
      <c r="A652" s="26"/>
      <c r="B652" s="24"/>
      <c r="C652" s="24"/>
      <c r="D652" s="24"/>
      <c r="E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</row>
    <row r="653" spans="1:23">
      <c r="A653" s="26"/>
      <c r="B653" s="24"/>
      <c r="C653" s="24"/>
      <c r="D653" s="24"/>
      <c r="E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</row>
    <row r="654" spans="1:23">
      <c r="A654" s="26"/>
      <c r="B654" s="24"/>
      <c r="C654" s="24"/>
      <c r="D654" s="24"/>
      <c r="E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</row>
    <row r="655" spans="1:23">
      <c r="A655" s="26"/>
      <c r="B655" s="24"/>
      <c r="C655" s="24"/>
      <c r="D655" s="24"/>
      <c r="E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</row>
    <row r="656" spans="1:23">
      <c r="A656" s="26"/>
      <c r="B656" s="24"/>
      <c r="C656" s="24"/>
      <c r="D656" s="24"/>
      <c r="E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</row>
    <row r="657" spans="1:23">
      <c r="A657" s="26"/>
      <c r="B657" s="24"/>
      <c r="C657" s="24"/>
      <c r="D657" s="24"/>
      <c r="E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</row>
    <row r="658" spans="1:23">
      <c r="A658" s="26"/>
      <c r="B658" s="24"/>
      <c r="C658" s="24"/>
      <c r="D658" s="24"/>
      <c r="E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</row>
    <row r="659" spans="1:23">
      <c r="A659" s="26"/>
      <c r="B659" s="24"/>
      <c r="C659" s="24"/>
      <c r="D659" s="24"/>
      <c r="E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</row>
    <row r="660" spans="1:23">
      <c r="A660" s="26"/>
      <c r="B660" s="24"/>
      <c r="C660" s="24"/>
      <c r="D660" s="24"/>
      <c r="E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</row>
    <row r="661" spans="1:23">
      <c r="A661" s="26"/>
      <c r="B661" s="24"/>
      <c r="C661" s="24"/>
      <c r="D661" s="24"/>
      <c r="E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</row>
    <row r="662" spans="1:23">
      <c r="A662" s="26"/>
      <c r="B662" s="24"/>
      <c r="C662" s="24"/>
      <c r="D662" s="24"/>
      <c r="E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</row>
    <row r="663" spans="1:23">
      <c r="A663" s="26"/>
      <c r="B663" s="24"/>
      <c r="C663" s="24"/>
      <c r="D663" s="24"/>
      <c r="E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</row>
    <row r="664" spans="1:23">
      <c r="A664" s="26"/>
      <c r="B664" s="24"/>
      <c r="C664" s="24"/>
      <c r="D664" s="24"/>
      <c r="E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</row>
    <row r="665" spans="1:23">
      <c r="A665" s="26"/>
      <c r="B665" s="24"/>
      <c r="C665" s="24"/>
      <c r="D665" s="24"/>
      <c r="E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</row>
    <row r="666" spans="1:23">
      <c r="A666" s="26"/>
      <c r="B666" s="24"/>
      <c r="C666" s="24"/>
      <c r="D666" s="24"/>
      <c r="E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</row>
    <row r="667" spans="1:23">
      <c r="A667" s="26"/>
      <c r="B667" s="24"/>
      <c r="C667" s="24"/>
      <c r="D667" s="24"/>
      <c r="E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</row>
    <row r="668" spans="1:23">
      <c r="A668" s="26"/>
      <c r="B668" s="24"/>
      <c r="C668" s="24"/>
      <c r="D668" s="24"/>
      <c r="E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</row>
    <row r="669" spans="1:23">
      <c r="A669" s="26"/>
      <c r="B669" s="24"/>
      <c r="C669" s="24"/>
      <c r="D669" s="24"/>
      <c r="E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</row>
    <row r="670" spans="1:23">
      <c r="A670" s="26"/>
      <c r="B670" s="24"/>
      <c r="C670" s="24"/>
      <c r="D670" s="24"/>
      <c r="E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</row>
    <row r="671" spans="1:23">
      <c r="A671" s="26"/>
      <c r="B671" s="24"/>
      <c r="C671" s="24"/>
      <c r="D671" s="24"/>
      <c r="E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</row>
    <row r="672" spans="1:23">
      <c r="A672" s="26"/>
      <c r="B672" s="24"/>
      <c r="C672" s="24"/>
      <c r="D672" s="24"/>
      <c r="E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</row>
    <row r="673" spans="1:23">
      <c r="A673" s="26"/>
      <c r="B673" s="24"/>
      <c r="C673" s="24"/>
      <c r="D673" s="24"/>
      <c r="E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</row>
    <row r="674" spans="1:23">
      <c r="A674" s="26"/>
      <c r="B674" s="24"/>
      <c r="C674" s="24"/>
      <c r="D674" s="24"/>
      <c r="E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</row>
    <row r="675" spans="1:23">
      <c r="A675" s="26"/>
      <c r="B675" s="24"/>
      <c r="C675" s="24"/>
      <c r="D675" s="24"/>
      <c r="E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</row>
    <row r="676" spans="1:23">
      <c r="A676" s="26"/>
      <c r="B676" s="24"/>
      <c r="C676" s="24"/>
      <c r="D676" s="24"/>
      <c r="E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</row>
    <row r="677" spans="1:23">
      <c r="A677" s="26"/>
      <c r="B677" s="24"/>
      <c r="C677" s="24"/>
      <c r="D677" s="24"/>
      <c r="E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</row>
    <row r="678" spans="1:23">
      <c r="A678" s="26"/>
      <c r="B678" s="24"/>
      <c r="C678" s="24"/>
      <c r="D678" s="24"/>
      <c r="E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</row>
    <row r="679" spans="1:23">
      <c r="A679" s="26"/>
      <c r="B679" s="24"/>
      <c r="C679" s="24"/>
      <c r="D679" s="24"/>
      <c r="E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</row>
    <row r="680" spans="1:23">
      <c r="A680" s="26"/>
      <c r="B680" s="24"/>
      <c r="C680" s="24"/>
      <c r="D680" s="24"/>
      <c r="E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</row>
    <row r="681" spans="1:23">
      <c r="A681" s="26"/>
      <c r="B681" s="24"/>
      <c r="C681" s="24"/>
      <c r="D681" s="24"/>
      <c r="E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</row>
    <row r="682" spans="1:23">
      <c r="A682" s="26"/>
      <c r="B682" s="24"/>
      <c r="C682" s="24"/>
      <c r="D682" s="24"/>
      <c r="E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</row>
    <row r="683" spans="1:23">
      <c r="A683" s="26"/>
      <c r="B683" s="24"/>
      <c r="C683" s="24"/>
      <c r="D683" s="24"/>
      <c r="E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</row>
    <row r="684" spans="1:23">
      <c r="A684" s="26"/>
      <c r="B684" s="24"/>
      <c r="C684" s="24"/>
      <c r="D684" s="24"/>
      <c r="E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</row>
    <row r="685" spans="1:23">
      <c r="A685" s="26"/>
      <c r="B685" s="24"/>
      <c r="C685" s="24"/>
      <c r="D685" s="24"/>
      <c r="E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</row>
    <row r="686" spans="1:23">
      <c r="A686" s="26"/>
      <c r="B686" s="24"/>
      <c r="C686" s="24"/>
      <c r="D686" s="24"/>
      <c r="E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</row>
    <row r="687" spans="1:23">
      <c r="A687" s="26"/>
      <c r="B687" s="24"/>
      <c r="C687" s="24"/>
      <c r="D687" s="24"/>
      <c r="E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</row>
    <row r="688" spans="1:23">
      <c r="A688" s="26"/>
      <c r="B688" s="24"/>
      <c r="C688" s="24"/>
      <c r="D688" s="24"/>
      <c r="E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</row>
    <row r="689" spans="1:23">
      <c r="A689" s="26"/>
      <c r="B689" s="24"/>
      <c r="C689" s="24"/>
      <c r="D689" s="24"/>
      <c r="E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</row>
    <row r="690" spans="1:23">
      <c r="A690" s="26"/>
      <c r="B690" s="24"/>
      <c r="C690" s="24"/>
      <c r="D690" s="24"/>
      <c r="E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</row>
    <row r="691" spans="1:23">
      <c r="A691" s="26"/>
      <c r="B691" s="24"/>
      <c r="C691" s="24"/>
      <c r="D691" s="24"/>
      <c r="E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</row>
    <row r="692" spans="1:23">
      <c r="A692" s="26"/>
      <c r="B692" s="24"/>
      <c r="C692" s="24"/>
      <c r="D692" s="24"/>
      <c r="E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</row>
    <row r="693" spans="1:23">
      <c r="A693" s="26"/>
      <c r="B693" s="24"/>
      <c r="C693" s="24"/>
      <c r="D693" s="24"/>
      <c r="E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</row>
    <row r="694" spans="1:23">
      <c r="A694" s="26"/>
      <c r="B694" s="24"/>
      <c r="C694" s="24"/>
      <c r="D694" s="24"/>
      <c r="E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</row>
    <row r="695" spans="1:23">
      <c r="A695" s="26"/>
      <c r="B695" s="24"/>
      <c r="C695" s="24"/>
      <c r="D695" s="24"/>
      <c r="E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</row>
    <row r="696" spans="1:23">
      <c r="A696" s="26"/>
      <c r="B696" s="24"/>
      <c r="C696" s="24"/>
      <c r="D696" s="24"/>
      <c r="E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</row>
    <row r="697" spans="1:23">
      <c r="A697" s="26"/>
      <c r="B697" s="24"/>
      <c r="C697" s="24"/>
      <c r="D697" s="24"/>
      <c r="E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</row>
    <row r="698" spans="1:23">
      <c r="A698" s="26"/>
      <c r="B698" s="24"/>
      <c r="C698" s="24"/>
      <c r="D698" s="24"/>
      <c r="E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</row>
    <row r="699" spans="1:23">
      <c r="A699" s="26"/>
      <c r="B699" s="24"/>
      <c r="C699" s="24"/>
      <c r="D699" s="24"/>
      <c r="E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</row>
    <row r="700" spans="1:23">
      <c r="A700" s="26"/>
      <c r="B700" s="24"/>
      <c r="C700" s="24"/>
      <c r="D700" s="24"/>
      <c r="E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</row>
    <row r="701" spans="1:23">
      <c r="A701" s="26"/>
      <c r="B701" s="24"/>
      <c r="C701" s="24"/>
      <c r="D701" s="24"/>
      <c r="E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</row>
    <row r="702" spans="1:23">
      <c r="A702" s="26"/>
      <c r="B702" s="24"/>
      <c r="C702" s="24"/>
      <c r="D702" s="24"/>
      <c r="E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</row>
    <row r="703" spans="1:23">
      <c r="A703" s="26"/>
      <c r="B703" s="24"/>
      <c r="C703" s="24"/>
      <c r="D703" s="24"/>
      <c r="E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</row>
    <row r="704" spans="1:23">
      <c r="A704" s="26"/>
      <c r="B704" s="24"/>
      <c r="C704" s="24"/>
      <c r="D704" s="24"/>
      <c r="E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</row>
    <row r="705" spans="1:23">
      <c r="A705" s="26"/>
      <c r="B705" s="24"/>
      <c r="C705" s="24"/>
      <c r="D705" s="24"/>
      <c r="E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</row>
    <row r="706" spans="1:23">
      <c r="A706" s="26"/>
      <c r="B706" s="24"/>
      <c r="C706" s="24"/>
      <c r="D706" s="24"/>
      <c r="E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</row>
    <row r="707" spans="1:23">
      <c r="A707" s="26"/>
      <c r="B707" s="24"/>
      <c r="C707" s="24"/>
      <c r="D707" s="24"/>
      <c r="E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</row>
    <row r="708" spans="1:23">
      <c r="A708" s="26"/>
      <c r="B708" s="24"/>
      <c r="C708" s="24"/>
      <c r="D708" s="24"/>
      <c r="E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</row>
    <row r="709" spans="1:23">
      <c r="A709" s="26"/>
      <c r="B709" s="24"/>
      <c r="C709" s="24"/>
      <c r="D709" s="24"/>
      <c r="E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</row>
    <row r="710" spans="1:23">
      <c r="A710" s="26"/>
      <c r="B710" s="24"/>
      <c r="C710" s="24"/>
      <c r="D710" s="24"/>
      <c r="E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</row>
    <row r="711" spans="1:23">
      <c r="A711" s="26"/>
      <c r="B711" s="24"/>
      <c r="C711" s="24"/>
      <c r="D711" s="24"/>
      <c r="E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</row>
    <row r="712" spans="1:23">
      <c r="A712" s="26"/>
      <c r="B712" s="24"/>
      <c r="C712" s="24"/>
      <c r="D712" s="24"/>
      <c r="E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</row>
    <row r="713" spans="1:23">
      <c r="A713" s="26"/>
      <c r="B713" s="24"/>
      <c r="C713" s="24"/>
      <c r="D713" s="24"/>
      <c r="E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</row>
    <row r="714" spans="1:23">
      <c r="A714" s="26"/>
      <c r="B714" s="24"/>
      <c r="C714" s="24"/>
      <c r="D714" s="24"/>
      <c r="E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</row>
    <row r="715" spans="1:23">
      <c r="A715" s="26"/>
      <c r="B715" s="24"/>
      <c r="C715" s="24"/>
      <c r="D715" s="24"/>
      <c r="E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</row>
    <row r="716" spans="1:23">
      <c r="A716" s="26"/>
      <c r="B716" s="24"/>
      <c r="C716" s="24"/>
      <c r="D716" s="24"/>
      <c r="E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</row>
    <row r="717" spans="1:23">
      <c r="A717" s="26"/>
      <c r="B717" s="24"/>
      <c r="C717" s="24"/>
      <c r="D717" s="24"/>
      <c r="E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</row>
    <row r="718" spans="1:23">
      <c r="A718" s="26"/>
      <c r="B718" s="24"/>
      <c r="C718" s="24"/>
      <c r="D718" s="24"/>
      <c r="E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</row>
    <row r="719" spans="1:23">
      <c r="A719" s="26"/>
      <c r="B719" s="24"/>
      <c r="C719" s="24"/>
      <c r="D719" s="24"/>
      <c r="E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</row>
    <row r="720" spans="1:23">
      <c r="A720" s="26"/>
      <c r="B720" s="24"/>
      <c r="C720" s="24"/>
      <c r="D720" s="24"/>
      <c r="E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</row>
    <row r="721" spans="1:23">
      <c r="A721" s="26"/>
      <c r="B721" s="24"/>
      <c r="C721" s="24"/>
      <c r="D721" s="24"/>
      <c r="E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</row>
    <row r="722" spans="1:23">
      <c r="A722" s="26"/>
      <c r="B722" s="24"/>
      <c r="C722" s="24"/>
      <c r="D722" s="24"/>
      <c r="E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</row>
    <row r="723" spans="1:23">
      <c r="A723" s="26"/>
      <c r="B723" s="24"/>
      <c r="C723" s="24"/>
      <c r="D723" s="24"/>
      <c r="E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</row>
    <row r="724" spans="1:23">
      <c r="A724" s="26"/>
      <c r="B724" s="24"/>
      <c r="C724" s="24"/>
      <c r="D724" s="24"/>
      <c r="E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</row>
    <row r="725" spans="1:23">
      <c r="A725" s="26"/>
      <c r="B725" s="24"/>
      <c r="C725" s="24"/>
      <c r="D725" s="24"/>
      <c r="E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</row>
    <row r="726" spans="1:23">
      <c r="A726" s="26"/>
      <c r="B726" s="24"/>
      <c r="C726" s="24"/>
      <c r="D726" s="24"/>
      <c r="E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</row>
    <row r="727" spans="1:23">
      <c r="A727" s="26"/>
      <c r="B727" s="24"/>
      <c r="C727" s="24"/>
      <c r="D727" s="24"/>
      <c r="E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</row>
    <row r="728" spans="1:23">
      <c r="A728" s="26"/>
      <c r="B728" s="24"/>
      <c r="C728" s="24"/>
      <c r="D728" s="24"/>
      <c r="E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</row>
    <row r="729" spans="1:23">
      <c r="A729" s="26"/>
      <c r="B729" s="24"/>
      <c r="C729" s="24"/>
      <c r="D729" s="24"/>
      <c r="E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</row>
    <row r="730" spans="1:23">
      <c r="A730" s="26"/>
      <c r="B730" s="24"/>
      <c r="C730" s="24"/>
      <c r="D730" s="24"/>
      <c r="E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</row>
    <row r="731" spans="1:23">
      <c r="A731" s="26"/>
      <c r="B731" s="24"/>
      <c r="C731" s="24"/>
      <c r="D731" s="24"/>
      <c r="E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</row>
    <row r="732" spans="1:23">
      <c r="A732" s="26"/>
      <c r="B732" s="24"/>
      <c r="C732" s="24"/>
      <c r="D732" s="24"/>
      <c r="E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</row>
    <row r="733" spans="1:23">
      <c r="A733" s="26"/>
      <c r="B733" s="24"/>
      <c r="C733" s="24"/>
      <c r="D733" s="24"/>
      <c r="E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</row>
    <row r="734" spans="1:23">
      <c r="A734" s="26"/>
      <c r="B734" s="24"/>
      <c r="C734" s="24"/>
      <c r="D734" s="24"/>
      <c r="E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</row>
    <row r="735" spans="1:23">
      <c r="A735" s="26"/>
      <c r="B735" s="24"/>
      <c r="C735" s="24"/>
      <c r="D735" s="24"/>
      <c r="E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</row>
    <row r="736" spans="1:23">
      <c r="A736" s="26"/>
      <c r="B736" s="24"/>
      <c r="C736" s="24"/>
      <c r="D736" s="24"/>
      <c r="E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</row>
    <row r="737" spans="1:23">
      <c r="A737" s="26"/>
      <c r="B737" s="24"/>
      <c r="C737" s="24"/>
      <c r="D737" s="24"/>
      <c r="E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</row>
    <row r="738" spans="1:23">
      <c r="A738" s="26"/>
      <c r="B738" s="24"/>
      <c r="C738" s="24"/>
      <c r="D738" s="24"/>
      <c r="E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</row>
    <row r="739" spans="1:23">
      <c r="A739" s="26"/>
      <c r="B739" s="24"/>
      <c r="C739" s="24"/>
      <c r="D739" s="24"/>
      <c r="E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</row>
    <row r="740" spans="1:23">
      <c r="A740" s="26"/>
      <c r="B740" s="24"/>
      <c r="C740" s="24"/>
      <c r="D740" s="24"/>
      <c r="E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</row>
    <row r="741" spans="1:23">
      <c r="A741" s="26"/>
      <c r="B741" s="24"/>
      <c r="C741" s="24"/>
      <c r="D741" s="24"/>
      <c r="E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</row>
    <row r="742" spans="1:23">
      <c r="A742" s="26"/>
      <c r="B742" s="24"/>
      <c r="C742" s="24"/>
      <c r="D742" s="24"/>
      <c r="E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</row>
    <row r="743" spans="1:23">
      <c r="A743" s="26"/>
      <c r="B743" s="24"/>
      <c r="C743" s="24"/>
      <c r="D743" s="24"/>
      <c r="E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</row>
    <row r="744" spans="1:23">
      <c r="A744" s="26"/>
      <c r="B744" s="24"/>
      <c r="C744" s="24"/>
      <c r="D744" s="24"/>
      <c r="E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</row>
    <row r="745" spans="1:23">
      <c r="A745" s="26"/>
      <c r="B745" s="24"/>
      <c r="C745" s="24"/>
      <c r="D745" s="24"/>
      <c r="E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</row>
    <row r="746" spans="1:23">
      <c r="A746" s="26"/>
      <c r="B746" s="24"/>
      <c r="C746" s="24"/>
      <c r="D746" s="24"/>
      <c r="E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</row>
    <row r="747" spans="1:23">
      <c r="A747" s="26"/>
      <c r="B747" s="24"/>
      <c r="C747" s="24"/>
      <c r="D747" s="24"/>
      <c r="E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</row>
    <row r="748" spans="1:23">
      <c r="A748" s="26"/>
      <c r="B748" s="24"/>
      <c r="C748" s="24"/>
      <c r="D748" s="24"/>
      <c r="E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</row>
    <row r="749" spans="1:23">
      <c r="A749" s="26"/>
      <c r="B749" s="24"/>
      <c r="C749" s="24"/>
      <c r="D749" s="24"/>
      <c r="E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</row>
    <row r="750" spans="1:23">
      <c r="A750" s="26"/>
      <c r="B750" s="24"/>
      <c r="C750" s="24"/>
      <c r="D750" s="24"/>
      <c r="E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</row>
    <row r="751" spans="1:23">
      <c r="A751" s="26"/>
      <c r="B751" s="24"/>
      <c r="C751" s="24"/>
      <c r="D751" s="24"/>
      <c r="E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</row>
    <row r="752" spans="1:23">
      <c r="A752" s="26"/>
      <c r="B752" s="24"/>
      <c r="C752" s="24"/>
      <c r="D752" s="24"/>
      <c r="E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</row>
    <row r="753" spans="1:23">
      <c r="A753" s="26"/>
      <c r="B753" s="24"/>
      <c r="C753" s="24"/>
      <c r="D753" s="24"/>
      <c r="E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</row>
    <row r="754" spans="1:23">
      <c r="A754" s="26"/>
      <c r="B754" s="24"/>
      <c r="C754" s="24"/>
      <c r="D754" s="24"/>
      <c r="E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</row>
    <row r="755" spans="1:23">
      <c r="A755" s="26"/>
      <c r="B755" s="24"/>
      <c r="C755" s="24"/>
      <c r="D755" s="24"/>
      <c r="E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</row>
    <row r="756" spans="1:23">
      <c r="A756" s="26"/>
      <c r="B756" s="24"/>
      <c r="C756" s="24"/>
      <c r="D756" s="24"/>
      <c r="E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</row>
    <row r="757" spans="1:23">
      <c r="A757" s="26"/>
      <c r="B757" s="24"/>
      <c r="C757" s="24"/>
      <c r="D757" s="24"/>
      <c r="E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</row>
    <row r="758" spans="1:23">
      <c r="A758" s="26"/>
      <c r="B758" s="24"/>
      <c r="C758" s="24"/>
      <c r="D758" s="24"/>
      <c r="E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</row>
    <row r="759" spans="1:23">
      <c r="A759" s="26"/>
      <c r="B759" s="24"/>
      <c r="C759" s="24"/>
      <c r="D759" s="24"/>
      <c r="E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</row>
    <row r="760" spans="1:23">
      <c r="A760" s="26"/>
      <c r="B760" s="24"/>
      <c r="C760" s="24"/>
      <c r="D760" s="24"/>
      <c r="E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</row>
    <row r="761" spans="1:23">
      <c r="A761" s="26"/>
      <c r="B761" s="24"/>
      <c r="C761" s="24"/>
      <c r="D761" s="24"/>
      <c r="E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</row>
    <row r="762" spans="1:23">
      <c r="A762" s="26"/>
      <c r="B762" s="24"/>
      <c r="C762" s="24"/>
      <c r="D762" s="24"/>
      <c r="E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</row>
    <row r="763" spans="1:23">
      <c r="A763" s="26"/>
      <c r="B763" s="24"/>
      <c r="C763" s="24"/>
      <c r="D763" s="24"/>
      <c r="E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</row>
    <row r="764" spans="1:23">
      <c r="A764" s="26"/>
      <c r="B764" s="24"/>
      <c r="C764" s="24"/>
      <c r="D764" s="24"/>
      <c r="E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</row>
    <row r="765" spans="1:23">
      <c r="A765" s="26"/>
      <c r="B765" s="24"/>
      <c r="C765" s="24"/>
      <c r="D765" s="24"/>
      <c r="E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</row>
    <row r="766" spans="1:23">
      <c r="A766" s="26"/>
      <c r="B766" s="24"/>
      <c r="C766" s="24"/>
      <c r="D766" s="24"/>
      <c r="E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</row>
    <row r="767" spans="1:23">
      <c r="A767" s="26"/>
      <c r="B767" s="24"/>
      <c r="C767" s="24"/>
      <c r="D767" s="24"/>
      <c r="E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</row>
    <row r="768" spans="1:23">
      <c r="A768" s="26"/>
      <c r="B768" s="24"/>
      <c r="C768" s="24"/>
      <c r="D768" s="24"/>
      <c r="E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</row>
    <row r="769" spans="1:23">
      <c r="A769" s="26"/>
      <c r="B769" s="24"/>
      <c r="C769" s="24"/>
      <c r="D769" s="24"/>
      <c r="E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</row>
    <row r="770" spans="1:23">
      <c r="A770" s="26"/>
      <c r="B770" s="24"/>
      <c r="C770" s="24"/>
      <c r="D770" s="24"/>
      <c r="E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</row>
    <row r="771" spans="1:23">
      <c r="A771" s="26"/>
      <c r="B771" s="24"/>
      <c r="C771" s="24"/>
      <c r="D771" s="24"/>
      <c r="E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</row>
    <row r="772" spans="1:23">
      <c r="A772" s="26"/>
      <c r="B772" s="24"/>
      <c r="C772" s="24"/>
      <c r="D772" s="24"/>
      <c r="E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</row>
    <row r="773" spans="1:23">
      <c r="A773" s="26"/>
      <c r="B773" s="24"/>
      <c r="C773" s="24"/>
      <c r="D773" s="24"/>
      <c r="E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</row>
    <row r="774" spans="1:23">
      <c r="A774" s="26"/>
      <c r="B774" s="24"/>
      <c r="C774" s="24"/>
      <c r="D774" s="24"/>
      <c r="E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</row>
    <row r="775" spans="1:23">
      <c r="A775" s="26"/>
      <c r="B775" s="24"/>
      <c r="C775" s="24"/>
      <c r="D775" s="24"/>
      <c r="E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</row>
    <row r="776" spans="1:23">
      <c r="A776" s="26"/>
      <c r="B776" s="24"/>
      <c r="C776" s="24"/>
      <c r="D776" s="24"/>
      <c r="E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</row>
    <row r="777" spans="1:23">
      <c r="A777" s="26"/>
      <c r="B777" s="24"/>
      <c r="C777" s="24"/>
      <c r="D777" s="24"/>
      <c r="E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</row>
    <row r="778" spans="1:23">
      <c r="A778" s="26"/>
      <c r="B778" s="24"/>
      <c r="C778" s="24"/>
      <c r="D778" s="24"/>
      <c r="E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</row>
    <row r="779" spans="1:23">
      <c r="A779" s="26"/>
      <c r="B779" s="24"/>
      <c r="C779" s="24"/>
      <c r="D779" s="24"/>
      <c r="E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</row>
    <row r="780" spans="1:23">
      <c r="A780" s="26"/>
      <c r="B780" s="24"/>
      <c r="C780" s="24"/>
      <c r="D780" s="24"/>
      <c r="E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</row>
    <row r="781" spans="1:23">
      <c r="A781" s="26"/>
      <c r="B781" s="24"/>
      <c r="C781" s="24"/>
      <c r="D781" s="24"/>
      <c r="E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</row>
    <row r="782" spans="1:23">
      <c r="A782" s="26"/>
      <c r="B782" s="24"/>
      <c r="C782" s="24"/>
      <c r="D782" s="24"/>
      <c r="E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</row>
    <row r="783" spans="1:23">
      <c r="A783" s="26"/>
      <c r="B783" s="24"/>
      <c r="C783" s="24"/>
      <c r="D783" s="24"/>
      <c r="E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</row>
    <row r="784" spans="1:23">
      <c r="A784" s="26"/>
      <c r="B784" s="24"/>
      <c r="C784" s="24"/>
      <c r="D784" s="24"/>
      <c r="E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</row>
    <row r="785" spans="1:23">
      <c r="A785" s="26"/>
      <c r="B785" s="24"/>
      <c r="C785" s="24"/>
      <c r="D785" s="24"/>
      <c r="E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</row>
    <row r="786" spans="1:23">
      <c r="A786" s="26"/>
      <c r="B786" s="24"/>
      <c r="C786" s="24"/>
      <c r="D786" s="24"/>
      <c r="E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</row>
    <row r="787" spans="1:23">
      <c r="A787" s="26"/>
      <c r="B787" s="24"/>
      <c r="C787" s="24"/>
      <c r="D787" s="24"/>
      <c r="E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</row>
    <row r="788" spans="1:23">
      <c r="A788" s="26"/>
      <c r="B788" s="24"/>
      <c r="C788" s="24"/>
      <c r="D788" s="24"/>
      <c r="E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</row>
    <row r="789" spans="1:23">
      <c r="A789" s="26"/>
      <c r="B789" s="24"/>
      <c r="C789" s="24"/>
      <c r="D789" s="24"/>
      <c r="E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</row>
    <row r="790" spans="1:23">
      <c r="A790" s="26"/>
      <c r="B790" s="24"/>
      <c r="C790" s="24"/>
      <c r="D790" s="24"/>
      <c r="E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</row>
    <row r="791" spans="1:23">
      <c r="A791" s="26"/>
      <c r="B791" s="24"/>
      <c r="C791" s="24"/>
      <c r="D791" s="24"/>
      <c r="E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</row>
    <row r="792" spans="1:23">
      <c r="A792" s="26"/>
      <c r="B792" s="24"/>
      <c r="C792" s="24"/>
      <c r="D792" s="24"/>
      <c r="E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</row>
    <row r="793" spans="1:23">
      <c r="A793" s="26"/>
      <c r="B793" s="24"/>
      <c r="C793" s="24"/>
      <c r="D793" s="24"/>
      <c r="E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</row>
    <row r="794" spans="1:23">
      <c r="A794" s="26"/>
      <c r="B794" s="24"/>
      <c r="C794" s="24"/>
      <c r="D794" s="24"/>
      <c r="E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</row>
    <row r="795" spans="1:23">
      <c r="A795" s="26"/>
      <c r="B795" s="24"/>
      <c r="C795" s="24"/>
      <c r="D795" s="24"/>
      <c r="E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</row>
    <row r="796" spans="1:23">
      <c r="A796" s="26"/>
      <c r="B796" s="24"/>
      <c r="C796" s="24"/>
      <c r="D796" s="24"/>
      <c r="E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</row>
    <row r="797" spans="1:23">
      <c r="A797" s="26"/>
      <c r="B797" s="24"/>
      <c r="C797" s="24"/>
      <c r="D797" s="24"/>
      <c r="E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</row>
    <row r="798" spans="1:23">
      <c r="A798" s="26"/>
      <c r="B798" s="24"/>
      <c r="C798" s="24"/>
      <c r="D798" s="24"/>
      <c r="E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</row>
    <row r="799" spans="1:23">
      <c r="A799" s="26"/>
      <c r="B799" s="24"/>
      <c r="C799" s="24"/>
      <c r="D799" s="24"/>
      <c r="E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</row>
    <row r="800" spans="1:23">
      <c r="A800" s="26"/>
      <c r="B800" s="24"/>
      <c r="C800" s="24"/>
      <c r="D800" s="24"/>
      <c r="E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</row>
    <row r="801" spans="1:23">
      <c r="A801" s="26"/>
      <c r="B801" s="24"/>
      <c r="C801" s="24"/>
      <c r="D801" s="24"/>
      <c r="E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</row>
    <row r="802" spans="1:23">
      <c r="A802" s="26"/>
      <c r="B802" s="24"/>
      <c r="C802" s="24"/>
      <c r="D802" s="24"/>
      <c r="E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</row>
    <row r="803" spans="1:23">
      <c r="A803" s="26"/>
      <c r="B803" s="24"/>
      <c r="C803" s="24"/>
      <c r="D803" s="24"/>
      <c r="E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</row>
    <row r="804" spans="1:23">
      <c r="A804" s="26"/>
      <c r="B804" s="24"/>
      <c r="C804" s="24"/>
      <c r="D804" s="24"/>
      <c r="E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</row>
    <row r="805" spans="1:23">
      <c r="A805" s="26"/>
      <c r="B805" s="24"/>
      <c r="C805" s="24"/>
      <c r="D805" s="24"/>
      <c r="E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</row>
    <row r="806" spans="1:23">
      <c r="A806" s="26"/>
      <c r="B806" s="24"/>
      <c r="C806" s="24"/>
      <c r="D806" s="24"/>
      <c r="E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</row>
    <row r="807" spans="1:23">
      <c r="A807" s="26"/>
      <c r="B807" s="24"/>
      <c r="C807" s="24"/>
      <c r="D807" s="24"/>
      <c r="E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</row>
    <row r="808" spans="1:23">
      <c r="A808" s="26"/>
      <c r="B808" s="24"/>
      <c r="C808" s="24"/>
      <c r="D808" s="24"/>
      <c r="E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</row>
    <row r="809" spans="1:23">
      <c r="A809" s="26"/>
      <c r="B809" s="24"/>
      <c r="C809" s="24"/>
      <c r="D809" s="24"/>
      <c r="E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</row>
    <row r="810" spans="1:23">
      <c r="A810" s="26"/>
      <c r="B810" s="24"/>
      <c r="C810" s="24"/>
      <c r="D810" s="24"/>
      <c r="E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</row>
    <row r="811" spans="1:23">
      <c r="A811" s="26"/>
      <c r="B811" s="24"/>
      <c r="C811" s="24"/>
      <c r="D811" s="24"/>
      <c r="E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</row>
    <row r="812" spans="1:23">
      <c r="A812" s="26"/>
      <c r="B812" s="24"/>
      <c r="C812" s="24"/>
      <c r="D812" s="24"/>
      <c r="E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</row>
    <row r="813" spans="1:23">
      <c r="A813" s="26"/>
      <c r="B813" s="24"/>
      <c r="C813" s="24"/>
      <c r="D813" s="24"/>
      <c r="E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</row>
    <row r="814" spans="1:23">
      <c r="A814" s="26"/>
      <c r="B814" s="24"/>
      <c r="C814" s="24"/>
      <c r="D814" s="24"/>
      <c r="E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</row>
    <row r="815" spans="1:23">
      <c r="A815" s="26"/>
      <c r="B815" s="24"/>
      <c r="C815" s="24"/>
      <c r="D815" s="24"/>
      <c r="E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</row>
    <row r="816" spans="1:23">
      <c r="A816" s="26"/>
      <c r="B816" s="24"/>
      <c r="C816" s="24"/>
      <c r="D816" s="24"/>
      <c r="E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</row>
    <row r="817" spans="1:23">
      <c r="A817" s="26"/>
      <c r="B817" s="24"/>
      <c r="C817" s="24"/>
      <c r="D817" s="24"/>
      <c r="E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</row>
    <row r="818" spans="1:23">
      <c r="A818" s="26"/>
      <c r="B818" s="24"/>
      <c r="C818" s="24"/>
      <c r="D818" s="24"/>
      <c r="E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</row>
    <row r="819" spans="1:23">
      <c r="A819" s="26"/>
      <c r="B819" s="24"/>
      <c r="C819" s="24"/>
      <c r="D819" s="24"/>
      <c r="E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</row>
    <row r="820" spans="1:23">
      <c r="A820" s="26"/>
      <c r="B820" s="24"/>
      <c r="C820" s="24"/>
      <c r="D820" s="24"/>
      <c r="E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</row>
    <row r="821" spans="1:23">
      <c r="A821" s="26"/>
      <c r="B821" s="24"/>
      <c r="C821" s="24"/>
      <c r="D821" s="24"/>
      <c r="E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</row>
    <row r="822" spans="1:23">
      <c r="A822" s="26"/>
      <c r="B822" s="24"/>
      <c r="C822" s="24"/>
      <c r="D822" s="24"/>
      <c r="E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</row>
    <row r="823" spans="1:23">
      <c r="A823" s="26"/>
      <c r="B823" s="24"/>
      <c r="C823" s="24"/>
      <c r="D823" s="24"/>
      <c r="E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</row>
    <row r="824" spans="1:23">
      <c r="A824" s="26"/>
      <c r="B824" s="24"/>
      <c r="C824" s="24"/>
      <c r="D824" s="24"/>
      <c r="E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</row>
    <row r="825" spans="1:23">
      <c r="A825" s="26"/>
      <c r="B825" s="24"/>
      <c r="C825" s="24"/>
      <c r="D825" s="24"/>
      <c r="E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</row>
    <row r="826" spans="1:23">
      <c r="A826" s="26"/>
      <c r="B826" s="24"/>
      <c r="C826" s="24"/>
      <c r="D826" s="24"/>
      <c r="E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</row>
    <row r="827" spans="1:23">
      <c r="A827" s="26"/>
      <c r="B827" s="24"/>
      <c r="C827" s="24"/>
      <c r="D827" s="24"/>
      <c r="E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</row>
    <row r="828" spans="1:23">
      <c r="A828" s="26"/>
      <c r="B828" s="24"/>
      <c r="C828" s="24"/>
      <c r="D828" s="24"/>
      <c r="E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</row>
    <row r="829" spans="1:23">
      <c r="A829" s="26"/>
      <c r="B829" s="24"/>
      <c r="C829" s="24"/>
      <c r="D829" s="24"/>
      <c r="E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</row>
    <row r="830" spans="1:23">
      <c r="A830" s="26"/>
      <c r="B830" s="24"/>
      <c r="C830" s="24"/>
      <c r="D830" s="24"/>
      <c r="E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</row>
    <row r="831" spans="1:23">
      <c r="A831" s="26"/>
      <c r="B831" s="24"/>
      <c r="C831" s="24"/>
      <c r="D831" s="24"/>
      <c r="E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</row>
    <row r="832" spans="1:23">
      <c r="A832" s="26"/>
      <c r="B832" s="24"/>
      <c r="C832" s="24"/>
      <c r="D832" s="24"/>
      <c r="E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</row>
    <row r="833" spans="1:23">
      <c r="A833" s="26"/>
      <c r="B833" s="24"/>
      <c r="C833" s="24"/>
      <c r="D833" s="24"/>
      <c r="E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</row>
    <row r="834" spans="1:23">
      <c r="A834" s="26"/>
      <c r="B834" s="24"/>
      <c r="C834" s="24"/>
      <c r="D834" s="24"/>
      <c r="E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</row>
    <row r="835" spans="1:23">
      <c r="A835" s="26"/>
      <c r="B835" s="24"/>
      <c r="C835" s="24"/>
      <c r="D835" s="24"/>
      <c r="E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</row>
    <row r="836" spans="1:23">
      <c r="A836" s="26"/>
      <c r="B836" s="24"/>
      <c r="C836" s="24"/>
      <c r="D836" s="24"/>
      <c r="E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  <row r="837" spans="1:23">
      <c r="A837" s="26"/>
      <c r="B837" s="24"/>
      <c r="C837" s="24"/>
      <c r="D837" s="24"/>
      <c r="E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</row>
    <row r="838" spans="1:23">
      <c r="A838" s="26"/>
      <c r="B838" s="24"/>
      <c r="C838" s="24"/>
      <c r="D838" s="24"/>
      <c r="E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</row>
    <row r="839" spans="1:23">
      <c r="A839" s="26"/>
      <c r="B839" s="24"/>
      <c r="C839" s="24"/>
      <c r="D839" s="24"/>
      <c r="E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</row>
    <row r="840" spans="1:23">
      <c r="A840" s="26"/>
      <c r="B840" s="24"/>
      <c r="C840" s="24"/>
      <c r="D840" s="24"/>
      <c r="E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</row>
    <row r="841" spans="1:23">
      <c r="A841" s="26"/>
      <c r="B841" s="24"/>
      <c r="C841" s="24"/>
      <c r="D841" s="24"/>
      <c r="E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</row>
    <row r="842" spans="1:23">
      <c r="A842" s="26"/>
      <c r="B842" s="24"/>
      <c r="C842" s="24"/>
      <c r="D842" s="24"/>
      <c r="E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</row>
    <row r="843" spans="1:23">
      <c r="A843" s="26"/>
      <c r="B843" s="24"/>
      <c r="C843" s="24"/>
      <c r="D843" s="24"/>
      <c r="E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</row>
    <row r="844" spans="1:23">
      <c r="A844" s="26"/>
      <c r="B844" s="24"/>
      <c r="C844" s="24"/>
      <c r="D844" s="24"/>
      <c r="E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</row>
    <row r="845" spans="1:23">
      <c r="A845" s="26"/>
      <c r="B845" s="24"/>
      <c r="C845" s="24"/>
      <c r="D845" s="24"/>
      <c r="E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</row>
    <row r="846" spans="1:23">
      <c r="A846" s="26"/>
      <c r="B846" s="24"/>
      <c r="C846" s="24"/>
      <c r="D846" s="24"/>
      <c r="E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</row>
    <row r="847" spans="1:23">
      <c r="A847" s="26"/>
      <c r="B847" s="24"/>
      <c r="C847" s="24"/>
      <c r="D847" s="24"/>
      <c r="E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</row>
    <row r="848" spans="1:23">
      <c r="A848" s="26"/>
      <c r="B848" s="24"/>
      <c r="C848" s="24"/>
      <c r="D848" s="24"/>
      <c r="E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</row>
    <row r="849" spans="1:23">
      <c r="A849" s="26"/>
      <c r="B849" s="24"/>
      <c r="C849" s="24"/>
      <c r="D849" s="24"/>
      <c r="E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</row>
    <row r="850" spans="1:23">
      <c r="A850" s="26"/>
      <c r="B850" s="24"/>
      <c r="C850" s="24"/>
      <c r="D850" s="24"/>
      <c r="E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</row>
    <row r="851" spans="1:23">
      <c r="A851" s="26"/>
      <c r="B851" s="24"/>
      <c r="C851" s="24"/>
      <c r="D851" s="24"/>
      <c r="E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</row>
    <row r="852" spans="1:23">
      <c r="A852" s="26"/>
      <c r="B852" s="24"/>
      <c r="C852" s="24"/>
      <c r="D852" s="24"/>
      <c r="E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</row>
    <row r="853" spans="1:23">
      <c r="A853" s="26"/>
      <c r="B853" s="24"/>
      <c r="C853" s="24"/>
      <c r="D853" s="24"/>
      <c r="E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</row>
    <row r="854" spans="1:23">
      <c r="A854" s="26"/>
      <c r="B854" s="24"/>
      <c r="C854" s="24"/>
      <c r="D854" s="24"/>
      <c r="E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</row>
    <row r="855" spans="1:23">
      <c r="A855" s="26"/>
      <c r="B855" s="24"/>
      <c r="C855" s="24"/>
      <c r="D855" s="24"/>
      <c r="E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</row>
    <row r="856" spans="1:23">
      <c r="A856" s="26"/>
      <c r="B856" s="24"/>
      <c r="C856" s="24"/>
      <c r="D856" s="24"/>
      <c r="E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</row>
    <row r="857" spans="1:23">
      <c r="A857" s="26"/>
      <c r="B857" s="24"/>
      <c r="C857" s="24"/>
      <c r="D857" s="24"/>
      <c r="E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</row>
    <row r="858" spans="1:23">
      <c r="A858" s="26"/>
      <c r="B858" s="24"/>
      <c r="C858" s="24"/>
      <c r="D858" s="24"/>
      <c r="E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</row>
    <row r="859" spans="1:23">
      <c r="A859" s="26"/>
      <c r="B859" s="24"/>
      <c r="C859" s="24"/>
      <c r="D859" s="24"/>
      <c r="E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</row>
    <row r="860" spans="1:23">
      <c r="A860" s="26"/>
      <c r="B860" s="24"/>
      <c r="C860" s="24"/>
      <c r="D860" s="24"/>
      <c r="E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</row>
    <row r="861" spans="1:23">
      <c r="A861" s="26"/>
      <c r="B861" s="24"/>
      <c r="C861" s="24"/>
      <c r="D861" s="24"/>
      <c r="E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</row>
    <row r="862" spans="1:23">
      <c r="A862" s="26"/>
      <c r="B862" s="24"/>
      <c r="C862" s="24"/>
      <c r="D862" s="24"/>
      <c r="E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</row>
    <row r="863" spans="1:23">
      <c r="A863" s="26"/>
      <c r="B863" s="24"/>
      <c r="C863" s="24"/>
      <c r="D863" s="24"/>
      <c r="E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</row>
    <row r="864" spans="1:23">
      <c r="A864" s="26"/>
      <c r="B864" s="24"/>
      <c r="C864" s="24"/>
      <c r="D864" s="24"/>
      <c r="E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</row>
    <row r="865" spans="1:23">
      <c r="A865" s="26"/>
      <c r="B865" s="24"/>
      <c r="C865" s="24"/>
      <c r="D865" s="24"/>
      <c r="E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</row>
    <row r="866" spans="1:23">
      <c r="A866" s="26"/>
      <c r="B866" s="24"/>
      <c r="C866" s="24"/>
      <c r="D866" s="24"/>
      <c r="E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</row>
    <row r="867" spans="1:23">
      <c r="A867" s="26"/>
      <c r="B867" s="24"/>
      <c r="C867" s="24"/>
      <c r="D867" s="24"/>
      <c r="E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</row>
    <row r="868" spans="1:23">
      <c r="A868" s="26"/>
      <c r="B868" s="24"/>
      <c r="C868" s="24"/>
      <c r="D868" s="24"/>
      <c r="E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</row>
    <row r="869" spans="1:23">
      <c r="A869" s="26"/>
      <c r="B869" s="24"/>
      <c r="C869" s="24"/>
      <c r="D869" s="24"/>
      <c r="E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</row>
    <row r="870" spans="1:23">
      <c r="A870" s="26"/>
      <c r="B870" s="24"/>
      <c r="C870" s="24"/>
      <c r="D870" s="24"/>
      <c r="E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</row>
    <row r="871" spans="1:23">
      <c r="A871" s="26"/>
      <c r="B871" s="24"/>
      <c r="C871" s="24"/>
      <c r="D871" s="24"/>
      <c r="E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</row>
    <row r="872" spans="1:23">
      <c r="A872" s="26"/>
      <c r="B872" s="24"/>
      <c r="C872" s="24"/>
      <c r="D872" s="24"/>
      <c r="E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</row>
    <row r="873" spans="1:23">
      <c r="A873" s="26"/>
      <c r="B873" s="24"/>
      <c r="C873" s="24"/>
      <c r="D873" s="24"/>
      <c r="E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</row>
    <row r="874" spans="1:23">
      <c r="A874" s="26"/>
      <c r="B874" s="24"/>
      <c r="C874" s="24"/>
      <c r="D874" s="24"/>
      <c r="E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</row>
    <row r="875" spans="1:23">
      <c r="A875" s="26"/>
      <c r="B875" s="24"/>
      <c r="C875" s="24"/>
      <c r="D875" s="24"/>
      <c r="E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</row>
    <row r="876" spans="1:23">
      <c r="A876" s="26"/>
      <c r="B876" s="24"/>
      <c r="C876" s="24"/>
      <c r="D876" s="24"/>
      <c r="E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</row>
    <row r="877" spans="1:23">
      <c r="A877" s="26"/>
      <c r="B877" s="24"/>
      <c r="C877" s="24"/>
      <c r="D877" s="24"/>
      <c r="E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</row>
    <row r="878" spans="1:23">
      <c r="A878" s="26"/>
      <c r="B878" s="24"/>
      <c r="C878" s="24"/>
      <c r="D878" s="24"/>
      <c r="E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</row>
    <row r="879" spans="1:23">
      <c r="A879" s="26"/>
      <c r="B879" s="24"/>
      <c r="C879" s="24"/>
      <c r="D879" s="24"/>
      <c r="E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</row>
    <row r="880" spans="1:23">
      <c r="A880" s="26"/>
      <c r="B880" s="24"/>
      <c r="C880" s="24"/>
      <c r="D880" s="24"/>
      <c r="E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</row>
    <row r="881" spans="1:23">
      <c r="A881" s="26"/>
      <c r="B881" s="24"/>
      <c r="C881" s="24"/>
      <c r="D881" s="24"/>
      <c r="E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</row>
    <row r="882" spans="1:23">
      <c r="A882" s="26"/>
      <c r="B882" s="24"/>
      <c r="C882" s="24"/>
      <c r="D882" s="24"/>
      <c r="E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</row>
    <row r="883" spans="1:23">
      <c r="A883" s="26"/>
      <c r="B883" s="24"/>
      <c r="C883" s="24"/>
      <c r="D883" s="24"/>
      <c r="E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</row>
    <row r="884" spans="1:23">
      <c r="A884" s="26"/>
      <c r="B884" s="24"/>
      <c r="C884" s="24"/>
      <c r="D884" s="24"/>
      <c r="E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</row>
    <row r="885" spans="1:23">
      <c r="A885" s="26"/>
      <c r="B885" s="24"/>
      <c r="C885" s="24"/>
      <c r="D885" s="24"/>
      <c r="E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</row>
    <row r="886" spans="1:23">
      <c r="A886" s="26"/>
      <c r="B886" s="24"/>
      <c r="C886" s="24"/>
      <c r="D886" s="24"/>
      <c r="E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</row>
    <row r="887" spans="1:23">
      <c r="A887" s="26"/>
      <c r="B887" s="24"/>
      <c r="C887" s="24"/>
      <c r="D887" s="24"/>
      <c r="E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</row>
    <row r="888" spans="1:23">
      <c r="A888" s="26"/>
      <c r="B888" s="24"/>
      <c r="C888" s="24"/>
      <c r="D888" s="24"/>
      <c r="E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</row>
    <row r="889" spans="1:23">
      <c r="A889" s="26"/>
      <c r="B889" s="24"/>
      <c r="C889" s="24"/>
      <c r="D889" s="24"/>
      <c r="E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</row>
    <row r="890" spans="1:23">
      <c r="A890" s="26"/>
      <c r="B890" s="24"/>
      <c r="C890" s="24"/>
      <c r="D890" s="24"/>
      <c r="E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</row>
    <row r="891" spans="1:23">
      <c r="A891" s="26"/>
      <c r="B891" s="24"/>
      <c r="C891" s="24"/>
      <c r="D891" s="24"/>
      <c r="E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</row>
    <row r="892" spans="1:23">
      <c r="A892" s="26"/>
      <c r="B892" s="24"/>
      <c r="C892" s="24"/>
      <c r="D892" s="24"/>
      <c r="E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</row>
    <row r="893" spans="1:23">
      <c r="A893" s="26"/>
      <c r="B893" s="24"/>
      <c r="C893" s="24"/>
      <c r="D893" s="24"/>
      <c r="E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</row>
    <row r="894" spans="1:23">
      <c r="A894" s="26"/>
      <c r="B894" s="24"/>
      <c r="C894" s="24"/>
      <c r="D894" s="24"/>
      <c r="E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</row>
    <row r="895" spans="1:23">
      <c r="A895" s="26"/>
      <c r="B895" s="24"/>
      <c r="C895" s="24"/>
      <c r="D895" s="24"/>
      <c r="E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</row>
    <row r="896" spans="1:23">
      <c r="A896" s="26"/>
      <c r="B896" s="24"/>
      <c r="C896" s="24"/>
      <c r="D896" s="24"/>
      <c r="E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</row>
    <row r="897" spans="1:23">
      <c r="A897" s="26"/>
      <c r="B897" s="24"/>
      <c r="C897" s="24"/>
      <c r="D897" s="24"/>
      <c r="E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</row>
    <row r="898" spans="1:23">
      <c r="A898" s="26"/>
      <c r="B898" s="24"/>
      <c r="C898" s="24"/>
      <c r="D898" s="24"/>
      <c r="E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</row>
    <row r="899" spans="1:23">
      <c r="A899" s="26"/>
      <c r="B899" s="24"/>
      <c r="C899" s="24"/>
      <c r="D899" s="24"/>
      <c r="E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</row>
    <row r="900" spans="1:23">
      <c r="A900" s="26"/>
      <c r="B900" s="24"/>
      <c r="C900" s="24"/>
      <c r="D900" s="24"/>
      <c r="E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</row>
    <row r="901" spans="1:23">
      <c r="A901" s="26"/>
      <c r="B901" s="24"/>
      <c r="C901" s="24"/>
      <c r="D901" s="24"/>
      <c r="E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</row>
    <row r="902" spans="1:23">
      <c r="A902" s="26"/>
      <c r="B902" s="24"/>
      <c r="C902" s="24"/>
      <c r="D902" s="24"/>
      <c r="E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</row>
    <row r="903" spans="1:23">
      <c r="A903" s="26"/>
      <c r="B903" s="24"/>
      <c r="C903" s="24"/>
      <c r="D903" s="24"/>
      <c r="E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</row>
    <row r="904" spans="1:23">
      <c r="A904" s="26"/>
      <c r="B904" s="24"/>
      <c r="C904" s="24"/>
      <c r="D904" s="24"/>
      <c r="E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</row>
    <row r="905" spans="1:23">
      <c r="A905" s="26"/>
      <c r="B905" s="24"/>
      <c r="C905" s="24"/>
      <c r="D905" s="24"/>
      <c r="E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</row>
    <row r="906" spans="1:23">
      <c r="A906" s="26"/>
      <c r="B906" s="24"/>
      <c r="C906" s="24"/>
      <c r="D906" s="24"/>
      <c r="E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</row>
    <row r="907" spans="1:23">
      <c r="A907" s="26"/>
      <c r="B907" s="24"/>
      <c r="C907" s="24"/>
      <c r="D907" s="24"/>
      <c r="E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</row>
    <row r="908" spans="1:23">
      <c r="A908" s="26"/>
      <c r="B908" s="24"/>
      <c r="C908" s="24"/>
      <c r="D908" s="24"/>
      <c r="E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</row>
    <row r="909" spans="1:23">
      <c r="A909" s="26"/>
      <c r="B909" s="24"/>
      <c r="C909" s="24"/>
      <c r="D909" s="24"/>
      <c r="E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</row>
    <row r="910" spans="1:23">
      <c r="A910" s="26"/>
      <c r="B910" s="24"/>
      <c r="C910" s="24"/>
      <c r="D910" s="24"/>
      <c r="E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</row>
    <row r="911" spans="1:23">
      <c r="A911" s="26"/>
      <c r="B911" s="24"/>
      <c r="C911" s="24"/>
      <c r="D911" s="24"/>
      <c r="E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</row>
    <row r="912" spans="1:23">
      <c r="A912" s="26"/>
      <c r="B912" s="24"/>
      <c r="C912" s="24"/>
      <c r="D912" s="24"/>
      <c r="E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</row>
    <row r="913" spans="1:23">
      <c r="A913" s="26"/>
      <c r="B913" s="24"/>
      <c r="C913" s="24"/>
      <c r="D913" s="24"/>
      <c r="E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</row>
    <row r="914" spans="1:23">
      <c r="A914" s="26"/>
      <c r="B914" s="24"/>
      <c r="C914" s="24"/>
      <c r="D914" s="24"/>
      <c r="E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</row>
    <row r="915" spans="1:23">
      <c r="A915" s="26"/>
      <c r="B915" s="24"/>
      <c r="C915" s="24"/>
      <c r="D915" s="24"/>
      <c r="E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</row>
    <row r="916" spans="1:23">
      <c r="A916" s="26"/>
      <c r="B916" s="24"/>
      <c r="C916" s="24"/>
      <c r="D916" s="24"/>
      <c r="E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</row>
    <row r="917" spans="1:23">
      <c r="A917" s="26"/>
      <c r="B917" s="24"/>
      <c r="C917" s="24"/>
      <c r="D917" s="24"/>
      <c r="E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</row>
    <row r="918" spans="1:23">
      <c r="A918" s="26"/>
      <c r="B918" s="24"/>
      <c r="C918" s="24"/>
      <c r="D918" s="24"/>
      <c r="E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</row>
    <row r="919" spans="1:23">
      <c r="A919" s="26"/>
      <c r="B919" s="24"/>
      <c r="C919" s="24"/>
      <c r="D919" s="24"/>
      <c r="E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</row>
    <row r="920" spans="1:23">
      <c r="A920" s="26"/>
      <c r="B920" s="24"/>
      <c r="C920" s="24"/>
      <c r="D920" s="24"/>
      <c r="E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</row>
    <row r="921" spans="1:23">
      <c r="A921" s="26"/>
      <c r="B921" s="24"/>
      <c r="C921" s="24"/>
      <c r="D921" s="24"/>
      <c r="E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</row>
    <row r="922" spans="1:23">
      <c r="A922" s="26"/>
      <c r="B922" s="24"/>
      <c r="C922" s="24"/>
      <c r="D922" s="24"/>
      <c r="E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</row>
    <row r="923" spans="1:23">
      <c r="A923" s="26"/>
      <c r="B923" s="24"/>
      <c r="C923" s="24"/>
      <c r="D923" s="24"/>
      <c r="E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</row>
    <row r="924" spans="1:23">
      <c r="A924" s="26"/>
      <c r="B924" s="24"/>
      <c r="C924" s="24"/>
      <c r="D924" s="24"/>
      <c r="E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</row>
    <row r="925" spans="1:23">
      <c r="A925" s="26"/>
      <c r="B925" s="24"/>
      <c r="C925" s="24"/>
      <c r="D925" s="24"/>
      <c r="E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</row>
    <row r="926" spans="1:23">
      <c r="A926" s="26"/>
      <c r="B926" s="24"/>
      <c r="C926" s="24"/>
      <c r="D926" s="24"/>
      <c r="E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</row>
    <row r="927" spans="1:23">
      <c r="A927" s="26"/>
      <c r="B927" s="24"/>
      <c r="C927" s="24"/>
      <c r="D927" s="24"/>
      <c r="E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</row>
    <row r="928" spans="1:23">
      <c r="A928" s="26"/>
      <c r="B928" s="24"/>
      <c r="C928" s="24"/>
      <c r="D928" s="24"/>
      <c r="E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</row>
    <row r="929" spans="1:23">
      <c r="A929" s="26"/>
      <c r="B929" s="24"/>
      <c r="C929" s="24"/>
      <c r="D929" s="24"/>
      <c r="E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</row>
    <row r="930" spans="1:23">
      <c r="A930" s="26"/>
      <c r="B930" s="24"/>
      <c r="C930" s="24"/>
      <c r="D930" s="24"/>
      <c r="E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</row>
    <row r="931" spans="1:23">
      <c r="A931" s="26"/>
      <c r="B931" s="24"/>
      <c r="C931" s="24"/>
      <c r="D931" s="24"/>
      <c r="E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</row>
    <row r="932" spans="1:23">
      <c r="A932" s="26"/>
      <c r="B932" s="24"/>
      <c r="C932" s="24"/>
      <c r="D932" s="24"/>
      <c r="E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</row>
    <row r="933" spans="1:23">
      <c r="A933" s="26"/>
      <c r="B933" s="24"/>
      <c r="C933" s="24"/>
      <c r="D933" s="24"/>
      <c r="E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</row>
    <row r="934" spans="1:23">
      <c r="A934" s="26"/>
      <c r="B934" s="24"/>
      <c r="C934" s="24"/>
      <c r="D934" s="24"/>
      <c r="E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</row>
    <row r="935" spans="1:23">
      <c r="A935" s="26"/>
      <c r="B935" s="24"/>
      <c r="C935" s="24"/>
      <c r="D935" s="24"/>
      <c r="E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</row>
    <row r="936" spans="1:23">
      <c r="A936" s="26"/>
      <c r="B936" s="24"/>
      <c r="C936" s="24"/>
      <c r="D936" s="24"/>
      <c r="E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</row>
    <row r="937" spans="1:23">
      <c r="A937" s="26"/>
      <c r="B937" s="24"/>
      <c r="C937" s="24"/>
      <c r="D937" s="24"/>
      <c r="E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</row>
    <row r="938" spans="1:23">
      <c r="A938" s="26"/>
      <c r="B938" s="24"/>
      <c r="C938" s="24"/>
      <c r="D938" s="24"/>
      <c r="E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</row>
    <row r="939" spans="1:23">
      <c r="A939" s="26"/>
      <c r="B939" s="24"/>
      <c r="C939" s="24"/>
      <c r="D939" s="24"/>
      <c r="E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</row>
    <row r="940" spans="1:23">
      <c r="A940" s="26"/>
      <c r="B940" s="24"/>
      <c r="C940" s="24"/>
      <c r="D940" s="24"/>
      <c r="E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</row>
    <row r="941" spans="1:23">
      <c r="A941" s="26"/>
      <c r="B941" s="24"/>
      <c r="C941" s="24"/>
      <c r="D941" s="24"/>
      <c r="E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</row>
    <row r="942" spans="1:23">
      <c r="A942" s="26"/>
      <c r="B942" s="24"/>
      <c r="C942" s="24"/>
      <c r="D942" s="24"/>
      <c r="E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</row>
    <row r="943" spans="1:23">
      <c r="A943" s="26"/>
      <c r="B943" s="24"/>
      <c r="C943" s="24"/>
      <c r="D943" s="24"/>
      <c r="E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</row>
    <row r="944" spans="1:23">
      <c r="A944" s="26"/>
      <c r="B944" s="24"/>
      <c r="C944" s="24"/>
      <c r="D944" s="24"/>
      <c r="E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</row>
    <row r="945" spans="1:23">
      <c r="A945" s="26"/>
      <c r="B945" s="24"/>
      <c r="C945" s="24"/>
      <c r="D945" s="24"/>
      <c r="E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</row>
    <row r="946" spans="1:23">
      <c r="A946" s="26"/>
      <c r="B946" s="24"/>
      <c r="C946" s="24"/>
      <c r="D946" s="24"/>
      <c r="E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</row>
    <row r="947" spans="1:23">
      <c r="A947" s="26"/>
      <c r="B947" s="24"/>
      <c r="C947" s="24"/>
      <c r="D947" s="24"/>
      <c r="E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</row>
    <row r="948" spans="1:23">
      <c r="A948" s="26"/>
      <c r="B948" s="24"/>
      <c r="C948" s="24"/>
      <c r="D948" s="24"/>
      <c r="E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</row>
    <row r="949" spans="1:23">
      <c r="A949" s="26"/>
      <c r="B949" s="24"/>
      <c r="C949" s="24"/>
      <c r="D949" s="24"/>
      <c r="E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</row>
    <row r="950" spans="1:23">
      <c r="A950" s="26"/>
      <c r="B950" s="24"/>
      <c r="C950" s="24"/>
      <c r="D950" s="24"/>
      <c r="E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</row>
    <row r="951" spans="1:23">
      <c r="A951" s="26"/>
      <c r="B951" s="24"/>
      <c r="C951" s="24"/>
      <c r="D951" s="24"/>
      <c r="E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</row>
    <row r="952" spans="1:23">
      <c r="A952" s="26"/>
      <c r="B952" s="24"/>
      <c r="C952" s="24"/>
      <c r="D952" s="24"/>
      <c r="E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</row>
    <row r="953" spans="1:23">
      <c r="A953" s="26"/>
      <c r="B953" s="24"/>
      <c r="C953" s="24"/>
      <c r="D953" s="24"/>
      <c r="E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</row>
    <row r="954" spans="1:23">
      <c r="A954" s="26"/>
      <c r="B954" s="24"/>
      <c r="C954" s="24"/>
      <c r="D954" s="24"/>
      <c r="E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</row>
    <row r="955" spans="1:23">
      <c r="A955" s="26"/>
      <c r="B955" s="24"/>
      <c r="C955" s="24"/>
      <c r="D955" s="24"/>
      <c r="E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</row>
    <row r="956" spans="1:23">
      <c r="A956" s="26"/>
      <c r="B956" s="24"/>
      <c r="C956" s="24"/>
      <c r="D956" s="24"/>
      <c r="E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</row>
    <row r="957" spans="1:23">
      <c r="A957" s="26"/>
      <c r="B957" s="24"/>
      <c r="C957" s="24"/>
      <c r="D957" s="24"/>
      <c r="E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</row>
    <row r="958" spans="1:23">
      <c r="A958" s="26"/>
      <c r="B958" s="24"/>
      <c r="C958" s="24"/>
      <c r="D958" s="24"/>
      <c r="E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</row>
    <row r="959" spans="1:23">
      <c r="A959" s="26"/>
      <c r="B959" s="24"/>
      <c r="C959" s="24"/>
      <c r="D959" s="24"/>
      <c r="E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</row>
    <row r="960" spans="1:23">
      <c r="A960" s="26"/>
      <c r="B960" s="24"/>
      <c r="C960" s="24"/>
      <c r="D960" s="24"/>
      <c r="E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</row>
    <row r="961" spans="1:23">
      <c r="A961" s="26"/>
      <c r="B961" s="24"/>
      <c r="C961" s="24"/>
      <c r="D961" s="24"/>
      <c r="E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</row>
    <row r="962" spans="1:23">
      <c r="A962" s="26"/>
      <c r="B962" s="24"/>
      <c r="C962" s="24"/>
      <c r="D962" s="24"/>
      <c r="E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</row>
    <row r="963" spans="1:23">
      <c r="A963" s="26"/>
      <c r="B963" s="24"/>
      <c r="C963" s="24"/>
      <c r="D963" s="24"/>
      <c r="E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</row>
    <row r="964" spans="1:23">
      <c r="A964" s="26"/>
      <c r="B964" s="24"/>
      <c r="C964" s="24"/>
      <c r="D964" s="24"/>
      <c r="E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</row>
    <row r="965" spans="1:23">
      <c r="A965" s="26"/>
      <c r="B965" s="24"/>
      <c r="C965" s="24"/>
      <c r="D965" s="24"/>
      <c r="E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</row>
    <row r="966" spans="1:23">
      <c r="A966" s="26"/>
      <c r="B966" s="24"/>
      <c r="C966" s="24"/>
      <c r="D966" s="24"/>
      <c r="E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</row>
    <row r="967" spans="1:23">
      <c r="A967" s="26"/>
      <c r="B967" s="24"/>
      <c r="C967" s="24"/>
      <c r="D967" s="24"/>
      <c r="E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</row>
    <row r="968" spans="1:23">
      <c r="A968" s="26"/>
      <c r="B968" s="24"/>
      <c r="C968" s="24"/>
      <c r="D968" s="24"/>
      <c r="E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</row>
    <row r="969" spans="1:23">
      <c r="A969" s="26"/>
      <c r="B969" s="24"/>
      <c r="C969" s="24"/>
      <c r="D969" s="24"/>
      <c r="E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</row>
    <row r="970" spans="1:23">
      <c r="A970" s="26"/>
      <c r="B970" s="24"/>
      <c r="C970" s="24"/>
      <c r="D970" s="24"/>
      <c r="E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</row>
    <row r="971" spans="1:23">
      <c r="A971" s="26"/>
      <c r="B971" s="24"/>
      <c r="C971" s="24"/>
      <c r="D971" s="24"/>
      <c r="E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</row>
    <row r="972" spans="1:23">
      <c r="A972" s="26"/>
      <c r="B972" s="24"/>
      <c r="C972" s="24"/>
      <c r="D972" s="24"/>
      <c r="E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</row>
    <row r="973" spans="1:23">
      <c r="A973" s="26"/>
      <c r="B973" s="24"/>
      <c r="C973" s="24"/>
      <c r="D973" s="24"/>
      <c r="E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</row>
    <row r="974" spans="1:23">
      <c r="A974" s="26"/>
      <c r="B974" s="24"/>
      <c r="C974" s="24"/>
      <c r="D974" s="24"/>
      <c r="E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</row>
    <row r="975" spans="1:23">
      <c r="A975" s="26"/>
      <c r="B975" s="24"/>
      <c r="C975" s="24"/>
      <c r="D975" s="24"/>
      <c r="E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</row>
    <row r="976" spans="1:23">
      <c r="A976" s="26"/>
      <c r="B976" s="24"/>
      <c r="C976" s="24"/>
      <c r="D976" s="24"/>
      <c r="E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</row>
    <row r="977" spans="1:23">
      <c r="A977" s="26"/>
      <c r="B977" s="24"/>
      <c r="C977" s="24"/>
      <c r="D977" s="24"/>
      <c r="E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</row>
    <row r="978" spans="1:23">
      <c r="A978" s="26"/>
      <c r="B978" s="24"/>
      <c r="C978" s="24"/>
      <c r="D978" s="24"/>
      <c r="E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</row>
    <row r="979" spans="1:23">
      <c r="A979" s="26"/>
      <c r="B979" s="24"/>
      <c r="C979" s="24"/>
      <c r="D979" s="24"/>
      <c r="E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</row>
    <row r="980" spans="1:23">
      <c r="A980" s="26"/>
      <c r="B980" s="24"/>
      <c r="C980" s="24"/>
      <c r="D980" s="24"/>
      <c r="E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</row>
    <row r="981" spans="1:23">
      <c r="A981" s="26"/>
      <c r="B981" s="24"/>
      <c r="C981" s="24"/>
      <c r="D981" s="24"/>
      <c r="E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</row>
    <row r="982" spans="1:23">
      <c r="A982" s="26"/>
      <c r="B982" s="24"/>
      <c r="C982" s="24"/>
      <c r="D982" s="24"/>
      <c r="E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</row>
    <row r="983" spans="1:23">
      <c r="A983" s="26"/>
      <c r="B983" s="24"/>
      <c r="C983" s="24"/>
      <c r="D983" s="24"/>
      <c r="E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</row>
    <row r="984" spans="1:23">
      <c r="A984" s="26"/>
      <c r="B984" s="24"/>
      <c r="C984" s="24"/>
      <c r="D984" s="24"/>
      <c r="E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</row>
    <row r="985" spans="1:23">
      <c r="A985" s="26"/>
      <c r="B985" s="24"/>
      <c r="C985" s="24"/>
      <c r="D985" s="24"/>
      <c r="E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</row>
    <row r="986" spans="1:23">
      <c r="A986" s="26"/>
      <c r="B986" s="24"/>
      <c r="C986" s="24"/>
      <c r="D986" s="24"/>
      <c r="E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</row>
    <row r="987" spans="1:23">
      <c r="A987" s="26"/>
      <c r="B987" s="24"/>
      <c r="C987" s="24"/>
      <c r="D987" s="24"/>
      <c r="E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</row>
    <row r="988" spans="1:23">
      <c r="A988" s="26"/>
      <c r="B988" s="24"/>
      <c r="C988" s="24"/>
      <c r="D988" s="24"/>
      <c r="E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</row>
    <row r="989" spans="1:23">
      <c r="A989" s="26"/>
      <c r="B989" s="24"/>
      <c r="C989" s="24"/>
      <c r="D989" s="24"/>
      <c r="E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</row>
    <row r="990" spans="1:23">
      <c r="A990" s="26"/>
      <c r="B990" s="24"/>
      <c r="C990" s="24"/>
      <c r="D990" s="24"/>
      <c r="E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</row>
    <row r="991" spans="1:23">
      <c r="A991" s="26"/>
      <c r="B991" s="24"/>
      <c r="C991" s="24"/>
      <c r="D991" s="24"/>
      <c r="E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</row>
    <row r="992" spans="1:23">
      <c r="A992" s="26"/>
      <c r="B992" s="24"/>
      <c r="C992" s="24"/>
      <c r="D992" s="24"/>
      <c r="E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</row>
    <row r="993" spans="1:23">
      <c r="A993" s="26"/>
      <c r="B993" s="24"/>
      <c r="C993" s="24"/>
      <c r="D993" s="24"/>
      <c r="E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</row>
    <row r="994" spans="1:23">
      <c r="A994" s="26"/>
      <c r="B994" s="24"/>
      <c r="C994" s="24"/>
      <c r="D994" s="24"/>
      <c r="E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</row>
    <row r="995" spans="1:23">
      <c r="A995" s="26"/>
      <c r="B995" s="24"/>
      <c r="C995" s="24"/>
      <c r="D995" s="24"/>
      <c r="E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</row>
    <row r="996" spans="1:23">
      <c r="A996" s="26"/>
      <c r="B996" s="24"/>
      <c r="C996" s="24"/>
      <c r="D996" s="24"/>
      <c r="E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</row>
    <row r="997" spans="1:23">
      <c r="A997" s="26"/>
      <c r="B997" s="24"/>
      <c r="C997" s="24"/>
      <c r="D997" s="24"/>
      <c r="E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</row>
    <row r="998" spans="1:23">
      <c r="A998" s="26"/>
      <c r="B998" s="24"/>
      <c r="C998" s="24"/>
      <c r="D998" s="24"/>
      <c r="E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</row>
    <row r="999" spans="1:23">
      <c r="A999" s="26"/>
      <c r="B999" s="24"/>
      <c r="C999" s="24"/>
      <c r="D999" s="24"/>
      <c r="E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</row>
    <row r="1000" spans="1:23">
      <c r="A1000" s="26"/>
      <c r="B1000" s="24"/>
      <c r="C1000" s="24"/>
      <c r="D1000" s="24"/>
      <c r="E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</row>
    <row r="1001" spans="1:23">
      <c r="A1001" s="26"/>
      <c r="B1001" s="24"/>
      <c r="C1001" s="24"/>
      <c r="D1001" s="24"/>
      <c r="E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</row>
    <row r="1002" spans="1:23">
      <c r="A1002" s="26"/>
      <c r="B1002" s="24"/>
      <c r="C1002" s="24"/>
      <c r="D1002" s="24"/>
      <c r="E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</row>
    <row r="1003" spans="1:23">
      <c r="A1003" s="26"/>
      <c r="B1003" s="24"/>
      <c r="C1003" s="24"/>
      <c r="D1003" s="24"/>
      <c r="E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</row>
    <row r="1004" spans="1:23">
      <c r="A1004" s="26"/>
      <c r="B1004" s="24"/>
      <c r="C1004" s="24"/>
      <c r="D1004" s="24"/>
      <c r="E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</row>
    <row r="1005" spans="1:23">
      <c r="A1005" s="26"/>
      <c r="B1005" s="24"/>
      <c r="C1005" s="24"/>
      <c r="D1005" s="24"/>
      <c r="E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</row>
    <row r="1006" spans="1:23">
      <c r="A1006" s="26"/>
      <c r="B1006" s="24"/>
      <c r="C1006" s="24"/>
      <c r="D1006" s="24"/>
      <c r="E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</row>
    <row r="1007" spans="1:23">
      <c r="A1007" s="26"/>
      <c r="B1007" s="24"/>
      <c r="C1007" s="24"/>
      <c r="D1007" s="24"/>
      <c r="E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</row>
    <row r="1008" spans="1:23">
      <c r="A1008" s="26"/>
      <c r="B1008" s="24"/>
      <c r="C1008" s="24"/>
      <c r="D1008" s="24"/>
      <c r="E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</row>
    <row r="1009" spans="1:23">
      <c r="A1009" s="26"/>
      <c r="B1009" s="24"/>
      <c r="C1009" s="24"/>
      <c r="D1009" s="24"/>
      <c r="E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</row>
    <row r="1010" spans="1:23">
      <c r="A1010" s="26"/>
      <c r="B1010" s="24"/>
      <c r="C1010" s="24"/>
      <c r="D1010" s="24"/>
      <c r="E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</row>
    <row r="1011" spans="1:23">
      <c r="A1011" s="26"/>
      <c r="B1011" s="24"/>
      <c r="C1011" s="24"/>
      <c r="D1011" s="24"/>
      <c r="E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</row>
    <row r="1012" spans="1:23">
      <c r="A1012" s="26"/>
      <c r="B1012" s="24"/>
      <c r="C1012" s="24"/>
      <c r="D1012" s="24"/>
      <c r="E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</row>
    <row r="1013" spans="1:23">
      <c r="A1013" s="26"/>
      <c r="B1013" s="24"/>
      <c r="C1013" s="24"/>
      <c r="D1013" s="24"/>
      <c r="E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</row>
    <row r="1014" spans="1:23">
      <c r="A1014" s="26"/>
      <c r="B1014" s="24"/>
      <c r="C1014" s="24"/>
      <c r="D1014" s="24"/>
      <c r="E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</row>
    <row r="1015" spans="1:23">
      <c r="A1015" s="26"/>
      <c r="B1015" s="24"/>
      <c r="C1015" s="24"/>
      <c r="D1015" s="24"/>
      <c r="E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</row>
    <row r="1016" spans="1:23">
      <c r="A1016" s="26"/>
      <c r="B1016" s="24"/>
      <c r="C1016" s="24"/>
      <c r="D1016" s="24"/>
      <c r="E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</row>
    <row r="1017" spans="1:23">
      <c r="A1017" s="26"/>
      <c r="B1017" s="24"/>
      <c r="C1017" s="24"/>
      <c r="D1017" s="24"/>
      <c r="E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</row>
    <row r="1018" spans="1:23">
      <c r="A1018" s="26"/>
      <c r="B1018" s="24"/>
      <c r="C1018" s="24"/>
      <c r="D1018" s="24"/>
      <c r="E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</row>
    <row r="1019" spans="1:23">
      <c r="A1019" s="26"/>
      <c r="B1019" s="24"/>
      <c r="C1019" s="24"/>
      <c r="D1019" s="24"/>
      <c r="E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</row>
    <row r="1020" spans="1:23">
      <c r="A1020" s="26"/>
      <c r="B1020" s="24"/>
      <c r="C1020" s="24"/>
      <c r="D1020" s="24"/>
      <c r="E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</row>
    <row r="1021" spans="1:23">
      <c r="A1021" s="26"/>
      <c r="B1021" s="24"/>
      <c r="C1021" s="24"/>
      <c r="D1021" s="24"/>
      <c r="E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</row>
    <row r="1022" spans="1:23">
      <c r="A1022" s="26"/>
      <c r="B1022" s="24"/>
      <c r="C1022" s="24"/>
      <c r="D1022" s="24"/>
      <c r="E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</row>
    <row r="1023" spans="1:23">
      <c r="A1023" s="26"/>
      <c r="B1023" s="24"/>
      <c r="C1023" s="24"/>
      <c r="D1023" s="24"/>
      <c r="E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</row>
    <row r="1024" spans="1:23">
      <c r="A1024" s="26"/>
      <c r="B1024" s="24"/>
      <c r="C1024" s="24"/>
      <c r="D1024" s="24"/>
      <c r="E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</row>
    <row r="1025" spans="1:23">
      <c r="A1025" s="26"/>
      <c r="B1025" s="24"/>
      <c r="C1025" s="24"/>
      <c r="D1025" s="24"/>
      <c r="E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</row>
    <row r="1026" spans="1:23">
      <c r="A1026" s="26"/>
      <c r="B1026" s="24"/>
      <c r="C1026" s="24"/>
      <c r="D1026" s="24"/>
      <c r="E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</row>
    <row r="1027" spans="1:23">
      <c r="A1027" s="26"/>
      <c r="B1027" s="24"/>
      <c r="C1027" s="24"/>
      <c r="D1027" s="24"/>
      <c r="E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</row>
    <row r="1028" spans="1:23">
      <c r="A1028" s="26"/>
      <c r="B1028" s="24"/>
      <c r="C1028" s="24"/>
      <c r="D1028" s="24"/>
      <c r="E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</row>
    <row r="1029" spans="1:23">
      <c r="A1029" s="26"/>
      <c r="B1029" s="24"/>
      <c r="C1029" s="24"/>
      <c r="D1029" s="24"/>
      <c r="E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</row>
    <row r="1030" spans="1:23">
      <c r="A1030" s="26"/>
      <c r="B1030" s="24"/>
      <c r="C1030" s="24"/>
      <c r="D1030" s="24"/>
      <c r="E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</row>
    <row r="1031" spans="1:23">
      <c r="A1031" s="26"/>
      <c r="B1031" s="24"/>
      <c r="C1031" s="24"/>
      <c r="D1031" s="24"/>
      <c r="E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</row>
    <row r="1032" spans="1:23">
      <c r="A1032" s="26"/>
      <c r="B1032" s="24"/>
      <c r="C1032" s="24"/>
      <c r="D1032" s="24"/>
      <c r="E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</row>
    <row r="1033" spans="1:23">
      <c r="A1033" s="26"/>
      <c r="B1033" s="24"/>
      <c r="C1033" s="24"/>
      <c r="D1033" s="24"/>
      <c r="E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</row>
    <row r="1034" spans="1:23">
      <c r="A1034" s="26"/>
      <c r="B1034" s="24"/>
      <c r="C1034" s="24"/>
      <c r="D1034" s="24"/>
      <c r="E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</row>
    <row r="1035" spans="1:23">
      <c r="A1035" s="26"/>
      <c r="B1035" s="24"/>
      <c r="C1035" s="24"/>
      <c r="D1035" s="24"/>
      <c r="E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</row>
    <row r="1036" spans="1:23">
      <c r="A1036" s="26"/>
      <c r="B1036" s="24"/>
      <c r="C1036" s="24"/>
      <c r="D1036" s="24"/>
      <c r="E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</row>
    <row r="1037" spans="1:23">
      <c r="A1037" s="26"/>
      <c r="B1037" s="24"/>
      <c r="C1037" s="24"/>
      <c r="D1037" s="24"/>
      <c r="E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</row>
    <row r="1038" spans="1:23">
      <c r="A1038" s="26"/>
      <c r="B1038" s="24"/>
      <c r="C1038" s="24"/>
      <c r="D1038" s="24"/>
      <c r="E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</row>
    <row r="1039" spans="1:23">
      <c r="A1039" s="26"/>
      <c r="B1039" s="24"/>
      <c r="C1039" s="24"/>
      <c r="D1039" s="24"/>
      <c r="E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</row>
    <row r="1040" spans="1:23">
      <c r="A1040" s="26"/>
      <c r="B1040" s="24"/>
      <c r="C1040" s="24"/>
      <c r="D1040" s="24"/>
      <c r="E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</row>
    <row r="1041" spans="1:23">
      <c r="A1041" s="26"/>
      <c r="B1041" s="24"/>
      <c r="C1041" s="24"/>
      <c r="D1041" s="24"/>
      <c r="E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</row>
    <row r="1042" spans="1:23">
      <c r="A1042" s="26"/>
      <c r="B1042" s="24"/>
      <c r="C1042" s="24"/>
      <c r="D1042" s="24"/>
      <c r="E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</row>
    <row r="1043" spans="1:23">
      <c r="A1043" s="26"/>
      <c r="B1043" s="24"/>
      <c r="C1043" s="24"/>
      <c r="D1043" s="24"/>
      <c r="E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</row>
    <row r="1044" spans="1:23">
      <c r="A1044" s="26"/>
      <c r="B1044" s="24"/>
      <c r="C1044" s="24"/>
      <c r="D1044" s="24"/>
      <c r="E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</row>
    <row r="1045" spans="1:23">
      <c r="A1045" s="26"/>
      <c r="B1045" s="24"/>
      <c r="C1045" s="24"/>
      <c r="D1045" s="24"/>
      <c r="E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</row>
    <row r="1046" spans="1:23">
      <c r="A1046" s="26"/>
      <c r="B1046" s="24"/>
      <c r="C1046" s="24"/>
      <c r="D1046" s="24"/>
      <c r="E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</row>
    <row r="1047" spans="1:23">
      <c r="A1047" s="26"/>
      <c r="B1047" s="24"/>
      <c r="C1047" s="24"/>
      <c r="D1047" s="24"/>
      <c r="E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</row>
    <row r="1048" spans="1:23">
      <c r="A1048" s="26"/>
      <c r="B1048" s="24"/>
      <c r="C1048" s="24"/>
      <c r="D1048" s="24"/>
      <c r="E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</row>
    <row r="1049" spans="1:23">
      <c r="A1049" s="26"/>
      <c r="B1049" s="24"/>
      <c r="C1049" s="24"/>
      <c r="D1049" s="24"/>
      <c r="E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</row>
    <row r="1050" spans="1:23">
      <c r="A1050" s="26"/>
      <c r="B1050" s="24"/>
      <c r="C1050" s="24"/>
      <c r="D1050" s="24"/>
      <c r="E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</row>
    <row r="1051" spans="1:23">
      <c r="A1051" s="26"/>
      <c r="B1051" s="24"/>
      <c r="C1051" s="24"/>
      <c r="D1051" s="24"/>
      <c r="E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</row>
    <row r="1052" spans="1:23">
      <c r="A1052" s="26"/>
      <c r="B1052" s="24"/>
      <c r="C1052" s="24"/>
      <c r="D1052" s="24"/>
      <c r="E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</row>
    <row r="1053" spans="1:23">
      <c r="A1053" s="26"/>
      <c r="B1053" s="24"/>
      <c r="C1053" s="24"/>
      <c r="D1053" s="24"/>
      <c r="E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</row>
    <row r="1054" spans="1:23">
      <c r="A1054" s="26"/>
      <c r="B1054" s="24"/>
      <c r="C1054" s="24"/>
      <c r="D1054" s="24"/>
      <c r="E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</row>
    <row r="1055" spans="1:23">
      <c r="A1055" s="26"/>
      <c r="B1055" s="24"/>
      <c r="C1055" s="24"/>
      <c r="D1055" s="24"/>
      <c r="E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</row>
    <row r="1056" spans="1:23">
      <c r="A1056" s="26"/>
      <c r="B1056" s="24"/>
      <c r="C1056" s="24"/>
      <c r="D1056" s="24"/>
      <c r="E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</row>
    <row r="1057" spans="1:23">
      <c r="A1057" s="26"/>
      <c r="B1057" s="24"/>
      <c r="C1057" s="24"/>
      <c r="D1057" s="24"/>
      <c r="E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</row>
    <row r="1058" spans="1:23">
      <c r="A1058" s="26"/>
      <c r="B1058" s="24"/>
      <c r="C1058" s="24"/>
      <c r="D1058" s="24"/>
      <c r="E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</row>
    <row r="1059" spans="1:23">
      <c r="A1059" s="26"/>
      <c r="B1059" s="24"/>
      <c r="C1059" s="24"/>
      <c r="D1059" s="24"/>
      <c r="E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</row>
    <row r="1060" spans="1:23">
      <c r="A1060" s="26"/>
      <c r="B1060" s="24"/>
      <c r="C1060" s="24"/>
      <c r="D1060" s="24"/>
      <c r="E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</row>
    <row r="1061" spans="1:23">
      <c r="A1061" s="26"/>
      <c r="B1061" s="24"/>
      <c r="C1061" s="24"/>
      <c r="D1061" s="24"/>
      <c r="E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</row>
    <row r="1062" spans="1:23">
      <c r="A1062" s="26"/>
      <c r="B1062" s="24"/>
      <c r="C1062" s="24"/>
      <c r="D1062" s="24"/>
      <c r="E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</row>
    <row r="1063" spans="1:23">
      <c r="A1063" s="26"/>
      <c r="B1063" s="24"/>
      <c r="C1063" s="24"/>
      <c r="D1063" s="24"/>
      <c r="E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</row>
    <row r="1064" spans="1:23">
      <c r="A1064" s="26"/>
      <c r="B1064" s="24"/>
      <c r="C1064" s="24"/>
      <c r="D1064" s="24"/>
      <c r="E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</row>
    <row r="1065" spans="1:23">
      <c r="A1065" s="26"/>
      <c r="B1065" s="24"/>
      <c r="C1065" s="24"/>
      <c r="D1065" s="24"/>
      <c r="E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</row>
    <row r="1066" spans="1:23">
      <c r="A1066" s="26"/>
      <c r="B1066" s="24"/>
      <c r="C1066" s="24"/>
      <c r="D1066" s="24"/>
      <c r="E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</row>
    <row r="1067" spans="1:23">
      <c r="A1067" s="26"/>
      <c r="B1067" s="24"/>
      <c r="C1067" s="24"/>
      <c r="D1067" s="24"/>
      <c r="E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</row>
    <row r="1068" spans="1:23">
      <c r="A1068" s="26"/>
      <c r="B1068" s="24"/>
      <c r="C1068" s="24"/>
      <c r="D1068" s="24"/>
      <c r="E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</row>
    <row r="1069" spans="1:23">
      <c r="A1069" s="26"/>
      <c r="B1069" s="24"/>
      <c r="C1069" s="24"/>
      <c r="D1069" s="24"/>
      <c r="E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</row>
    <row r="1070" spans="1:23">
      <c r="A1070" s="26"/>
      <c r="B1070" s="24"/>
      <c r="C1070" s="24"/>
      <c r="D1070" s="24"/>
      <c r="E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</row>
    <row r="1071" spans="1:23">
      <c r="A1071" s="26"/>
      <c r="B1071" s="24"/>
      <c r="C1071" s="24"/>
      <c r="D1071" s="24"/>
      <c r="E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</row>
    <row r="1072" spans="1:23">
      <c r="A1072" s="26"/>
      <c r="B1072" s="24"/>
      <c r="C1072" s="24"/>
      <c r="D1072" s="24"/>
      <c r="E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</row>
    <row r="1073" spans="1:23">
      <c r="A1073" s="26"/>
      <c r="B1073" s="24"/>
      <c r="C1073" s="24"/>
      <c r="D1073" s="24"/>
      <c r="E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</row>
    <row r="1074" spans="1:23">
      <c r="A1074" s="26"/>
      <c r="B1074" s="24"/>
      <c r="C1074" s="24"/>
      <c r="D1074" s="24"/>
      <c r="E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</row>
    <row r="1075" spans="1:23">
      <c r="A1075" s="26"/>
      <c r="B1075" s="24"/>
      <c r="C1075" s="24"/>
      <c r="D1075" s="24"/>
      <c r="E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</row>
    <row r="1076" spans="1:23">
      <c r="A1076" s="26"/>
      <c r="B1076" s="24"/>
      <c r="C1076" s="24"/>
      <c r="D1076" s="24"/>
      <c r="E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</row>
    <row r="1077" spans="1:23">
      <c r="A1077" s="26"/>
      <c r="B1077" s="24"/>
      <c r="C1077" s="24"/>
      <c r="D1077" s="24"/>
      <c r="E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</row>
    <row r="1078" spans="1:23">
      <c r="A1078" s="26"/>
      <c r="B1078" s="24"/>
      <c r="C1078" s="24"/>
      <c r="D1078" s="24"/>
      <c r="E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</row>
    <row r="1079" spans="1:23">
      <c r="A1079" s="26"/>
      <c r="B1079" s="24"/>
      <c r="C1079" s="24"/>
      <c r="D1079" s="24"/>
      <c r="E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</row>
    <row r="1080" spans="1:23">
      <c r="A1080" s="26"/>
      <c r="B1080" s="24"/>
      <c r="C1080" s="24"/>
      <c r="D1080" s="24"/>
      <c r="E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</row>
    <row r="1081" spans="1:23">
      <c r="A1081" s="26"/>
      <c r="B1081" s="24"/>
      <c r="C1081" s="24"/>
      <c r="D1081" s="24"/>
      <c r="E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</row>
    <row r="1082" spans="1:23">
      <c r="A1082" s="26"/>
      <c r="B1082" s="24"/>
      <c r="C1082" s="24"/>
      <c r="D1082" s="24"/>
      <c r="E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</row>
    <row r="1083" spans="1:23">
      <c r="A1083" s="26"/>
      <c r="B1083" s="24"/>
      <c r="C1083" s="24"/>
      <c r="D1083" s="24"/>
      <c r="E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</row>
    <row r="1084" spans="1:23">
      <c r="A1084" s="26"/>
      <c r="B1084" s="24"/>
      <c r="C1084" s="24"/>
      <c r="D1084" s="24"/>
      <c r="E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</row>
    <row r="1085" spans="1:23">
      <c r="A1085" s="26"/>
      <c r="B1085" s="24"/>
      <c r="C1085" s="24"/>
      <c r="D1085" s="24"/>
      <c r="E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</row>
    <row r="1086" spans="1:23">
      <c r="A1086" s="26"/>
      <c r="B1086" s="24"/>
      <c r="C1086" s="24"/>
      <c r="D1086" s="24"/>
      <c r="E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</row>
    <row r="1087" spans="1:23">
      <c r="A1087" s="26"/>
      <c r="B1087" s="24"/>
      <c r="C1087" s="24"/>
      <c r="D1087" s="24"/>
      <c r="E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</row>
    <row r="1088" spans="1:23">
      <c r="A1088" s="26"/>
      <c r="B1088" s="24"/>
      <c r="C1088" s="24"/>
      <c r="D1088" s="24"/>
      <c r="E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</row>
    <row r="1089" spans="1:23">
      <c r="A1089" s="26"/>
      <c r="B1089" s="24"/>
      <c r="C1089" s="24"/>
      <c r="D1089" s="24"/>
      <c r="E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</row>
    <row r="1090" spans="1:23">
      <c r="A1090" s="26"/>
      <c r="B1090" s="24"/>
      <c r="C1090" s="24"/>
      <c r="D1090" s="24"/>
      <c r="E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</row>
    <row r="1091" spans="1:23">
      <c r="A1091" s="26"/>
      <c r="B1091" s="24"/>
      <c r="C1091" s="24"/>
      <c r="D1091" s="24"/>
      <c r="E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</row>
    <row r="1092" spans="1:23">
      <c r="A1092" s="26"/>
      <c r="B1092" s="24"/>
      <c r="C1092" s="24"/>
      <c r="D1092" s="24"/>
      <c r="E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</row>
    <row r="1093" spans="1:23">
      <c r="A1093" s="26"/>
      <c r="B1093" s="24"/>
      <c r="C1093" s="24"/>
      <c r="D1093" s="24"/>
      <c r="E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</row>
    <row r="1094" spans="1:23">
      <c r="A1094" s="26"/>
      <c r="B1094" s="24"/>
      <c r="C1094" s="24"/>
      <c r="D1094" s="24"/>
      <c r="E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</row>
    <row r="1095" spans="1:23">
      <c r="A1095" s="26"/>
      <c r="B1095" s="24"/>
      <c r="C1095" s="24"/>
      <c r="D1095" s="24"/>
      <c r="E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</row>
    <row r="1096" spans="1:23">
      <c r="A1096" s="26"/>
      <c r="B1096" s="24"/>
      <c r="C1096" s="24"/>
      <c r="D1096" s="24"/>
      <c r="E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</row>
    <row r="1097" spans="1:23">
      <c r="A1097" s="26"/>
      <c r="B1097" s="24"/>
      <c r="C1097" s="24"/>
      <c r="D1097" s="24"/>
      <c r="E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</row>
    <row r="1098" spans="1:23">
      <c r="A1098" s="26"/>
      <c r="B1098" s="24"/>
      <c r="C1098" s="24"/>
      <c r="D1098" s="24"/>
      <c r="E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</row>
    <row r="1099" spans="1:23">
      <c r="A1099" s="26"/>
      <c r="B1099" s="24"/>
      <c r="C1099" s="24"/>
      <c r="D1099" s="24"/>
      <c r="E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</row>
    <row r="1100" spans="1:23">
      <c r="A1100" s="26"/>
      <c r="B1100" s="24"/>
      <c r="C1100" s="24"/>
      <c r="D1100" s="24"/>
      <c r="E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</row>
    <row r="1101" spans="1:23">
      <c r="A1101" s="26"/>
      <c r="B1101" s="24"/>
      <c r="C1101" s="24"/>
      <c r="D1101" s="24"/>
      <c r="E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</row>
    <row r="1102" spans="1:23">
      <c r="A1102" s="26"/>
      <c r="B1102" s="24"/>
      <c r="C1102" s="24"/>
      <c r="D1102" s="24"/>
      <c r="E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</row>
    <row r="1103" spans="1:23">
      <c r="A1103" s="26"/>
      <c r="B1103" s="24"/>
      <c r="C1103" s="24"/>
      <c r="D1103" s="24"/>
      <c r="E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</row>
    <row r="1104" spans="1:23">
      <c r="A1104" s="26"/>
      <c r="B1104" s="24"/>
      <c r="C1104" s="24"/>
      <c r="D1104" s="24"/>
      <c r="E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</row>
    <row r="1105" spans="1:23">
      <c r="A1105" s="26"/>
      <c r="B1105" s="24"/>
      <c r="C1105" s="24"/>
      <c r="D1105" s="24"/>
      <c r="E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</row>
    <row r="1106" spans="1:23">
      <c r="A1106" s="26"/>
      <c r="B1106" s="24"/>
      <c r="C1106" s="24"/>
      <c r="D1106" s="24"/>
      <c r="E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</row>
    <row r="1107" spans="1:23">
      <c r="A1107" s="26"/>
      <c r="B1107" s="24"/>
      <c r="C1107" s="24"/>
      <c r="D1107" s="24"/>
      <c r="E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</row>
    <row r="1108" spans="1:23">
      <c r="A1108" s="26"/>
      <c r="B1108" s="24"/>
      <c r="C1108" s="24"/>
      <c r="D1108" s="24"/>
      <c r="E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</row>
    <row r="1109" spans="1:23">
      <c r="A1109" s="26"/>
      <c r="B1109" s="24"/>
      <c r="C1109" s="24"/>
      <c r="D1109" s="24"/>
      <c r="E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</row>
    <row r="1110" spans="1:23">
      <c r="A1110" s="26"/>
      <c r="B1110" s="24"/>
      <c r="C1110" s="24"/>
      <c r="D1110" s="24"/>
      <c r="E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</row>
    <row r="1111" spans="1:23">
      <c r="A1111" s="26"/>
      <c r="B1111" s="24"/>
      <c r="C1111" s="24"/>
      <c r="D1111" s="24"/>
      <c r="E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</row>
    <row r="1112" spans="1:23">
      <c r="A1112" s="26"/>
      <c r="B1112" s="24"/>
      <c r="C1112" s="24"/>
      <c r="D1112" s="24"/>
      <c r="E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</row>
    <row r="1113" spans="1:23">
      <c r="A1113" s="26"/>
      <c r="B1113" s="24"/>
      <c r="C1113" s="24"/>
      <c r="D1113" s="24"/>
      <c r="E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</row>
    <row r="1114" spans="1:23">
      <c r="A1114" s="26"/>
      <c r="B1114" s="24"/>
      <c r="C1114" s="24"/>
      <c r="D1114" s="24"/>
      <c r="E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</row>
    <row r="1115" spans="1:23">
      <c r="A1115" s="26"/>
      <c r="B1115" s="24"/>
      <c r="C1115" s="24"/>
      <c r="D1115" s="24"/>
      <c r="E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</row>
    <row r="1116" spans="1:23">
      <c r="A1116" s="26"/>
      <c r="B1116" s="24"/>
      <c r="C1116" s="24"/>
      <c r="D1116" s="24"/>
      <c r="E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</row>
    <row r="1117" spans="1:23">
      <c r="A1117" s="26"/>
      <c r="B1117" s="24"/>
      <c r="C1117" s="24"/>
      <c r="D1117" s="24"/>
      <c r="E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</row>
    <row r="1118" spans="1:23">
      <c r="A1118" s="26"/>
      <c r="B1118" s="24"/>
      <c r="C1118" s="24"/>
      <c r="D1118" s="24"/>
      <c r="E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</row>
    <row r="1119" spans="1:23">
      <c r="A1119" s="26"/>
      <c r="B1119" s="24"/>
      <c r="C1119" s="24"/>
      <c r="D1119" s="24"/>
      <c r="E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</row>
    <row r="1120" spans="1:23">
      <c r="A1120" s="26"/>
      <c r="B1120" s="24"/>
      <c r="C1120" s="24"/>
      <c r="D1120" s="24"/>
      <c r="E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</row>
    <row r="1121" spans="1:23">
      <c r="A1121" s="26"/>
      <c r="B1121" s="24"/>
      <c r="C1121" s="24"/>
      <c r="D1121" s="24"/>
      <c r="E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</row>
    <row r="1122" spans="1:23">
      <c r="A1122" s="26"/>
      <c r="B1122" s="24"/>
      <c r="C1122" s="24"/>
      <c r="D1122" s="24"/>
      <c r="E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</row>
    <row r="1123" spans="1:23">
      <c r="A1123" s="26"/>
      <c r="B1123" s="24"/>
      <c r="C1123" s="24"/>
      <c r="D1123" s="24"/>
      <c r="E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</row>
    <row r="1124" spans="1:23">
      <c r="A1124" s="26"/>
      <c r="B1124" s="24"/>
      <c r="C1124" s="24"/>
      <c r="D1124" s="24"/>
      <c r="E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</row>
    <row r="1125" spans="1:23">
      <c r="A1125" s="26"/>
      <c r="B1125" s="24"/>
      <c r="C1125" s="24"/>
      <c r="D1125" s="24"/>
      <c r="E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</row>
    <row r="1126" spans="1:23">
      <c r="A1126" s="26"/>
      <c r="B1126" s="24"/>
      <c r="C1126" s="24"/>
      <c r="D1126" s="24"/>
      <c r="E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</row>
    <row r="1127" spans="1:23">
      <c r="A1127" s="26"/>
      <c r="B1127" s="24"/>
      <c r="C1127" s="24"/>
      <c r="D1127" s="24"/>
      <c r="E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</row>
    <row r="1128" spans="1:23">
      <c r="A1128" s="26"/>
      <c r="B1128" s="24"/>
      <c r="C1128" s="24"/>
      <c r="D1128" s="24"/>
      <c r="E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</row>
    <row r="1129" spans="1:23">
      <c r="A1129" s="26"/>
      <c r="B1129" s="24"/>
      <c r="C1129" s="24"/>
      <c r="D1129" s="24"/>
      <c r="E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</row>
    <row r="1130" spans="1:23">
      <c r="A1130" s="26"/>
      <c r="B1130" s="24"/>
      <c r="C1130" s="24"/>
      <c r="D1130" s="24"/>
      <c r="E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</row>
    <row r="1131" spans="1:23">
      <c r="A1131" s="26"/>
      <c r="B1131" s="24"/>
      <c r="C1131" s="24"/>
      <c r="D1131" s="24"/>
      <c r="E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</row>
    <row r="1132" spans="1:23">
      <c r="A1132" s="26"/>
      <c r="B1132" s="24"/>
      <c r="C1132" s="24"/>
      <c r="D1132" s="24"/>
      <c r="E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</row>
    <row r="1133" spans="1:23">
      <c r="A1133" s="26"/>
      <c r="B1133" s="24"/>
      <c r="C1133" s="24"/>
      <c r="D1133" s="24"/>
      <c r="E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</row>
    <row r="1134" spans="1:23">
      <c r="A1134" s="26"/>
      <c r="B1134" s="24"/>
      <c r="C1134" s="24"/>
      <c r="D1134" s="24"/>
      <c r="E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</row>
    <row r="1135" spans="1:23">
      <c r="A1135" s="26"/>
      <c r="B1135" s="24"/>
      <c r="C1135" s="24"/>
      <c r="D1135" s="24"/>
      <c r="E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</row>
    <row r="1136" spans="1:23">
      <c r="A1136" s="26"/>
      <c r="B1136" s="24"/>
      <c r="C1136" s="24"/>
      <c r="D1136" s="24"/>
      <c r="E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</row>
    <row r="1137" spans="1:23">
      <c r="A1137" s="26"/>
      <c r="B1137" s="24"/>
      <c r="C1137" s="24"/>
      <c r="D1137" s="24"/>
      <c r="E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</row>
    <row r="1138" spans="1:23">
      <c r="A1138" s="26"/>
      <c r="B1138" s="24"/>
      <c r="C1138" s="24"/>
      <c r="D1138" s="24"/>
      <c r="E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</row>
    <row r="1139" spans="1:23">
      <c r="A1139" s="26"/>
      <c r="B1139" s="24"/>
      <c r="C1139" s="24"/>
      <c r="D1139" s="24"/>
      <c r="E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</row>
    <row r="1140" spans="1:23">
      <c r="A1140" s="26"/>
      <c r="B1140" s="24"/>
      <c r="C1140" s="24"/>
      <c r="D1140" s="24"/>
      <c r="E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</row>
    <row r="1141" spans="1:23">
      <c r="A1141" s="26"/>
      <c r="B1141" s="24"/>
      <c r="C1141" s="24"/>
      <c r="D1141" s="24"/>
      <c r="E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</row>
    <row r="1142" spans="1:23">
      <c r="A1142" s="26"/>
      <c r="B1142" s="24"/>
      <c r="C1142" s="24"/>
      <c r="D1142" s="24"/>
      <c r="E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</row>
    <row r="1143" spans="1:23">
      <c r="A1143" s="26"/>
      <c r="B1143" s="24"/>
      <c r="C1143" s="24"/>
      <c r="D1143" s="24"/>
      <c r="E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</row>
    <row r="1144" spans="1:23">
      <c r="A1144" s="26"/>
      <c r="B1144" s="24"/>
      <c r="C1144" s="24"/>
      <c r="D1144" s="24"/>
      <c r="E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</row>
    <row r="1145" spans="1:23">
      <c r="A1145" s="26"/>
      <c r="B1145" s="24"/>
      <c r="C1145" s="24"/>
      <c r="D1145" s="24"/>
      <c r="E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</row>
    <row r="1146" spans="1:23">
      <c r="A1146" s="26"/>
      <c r="B1146" s="24"/>
      <c r="C1146" s="24"/>
      <c r="D1146" s="24"/>
      <c r="E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</row>
    <row r="1147" spans="1:23">
      <c r="A1147" s="26"/>
      <c r="B1147" s="24"/>
      <c r="C1147" s="24"/>
      <c r="D1147" s="24"/>
      <c r="E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</row>
    <row r="1148" spans="1:23">
      <c r="A1148" s="26"/>
      <c r="B1148" s="24"/>
      <c r="C1148" s="24"/>
      <c r="D1148" s="24"/>
      <c r="E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</row>
    <row r="1149" spans="1:23">
      <c r="A1149" s="26"/>
      <c r="B1149" s="24"/>
      <c r="C1149" s="24"/>
      <c r="D1149" s="24"/>
      <c r="E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</row>
    <row r="1150" spans="1:23">
      <c r="A1150" s="26"/>
      <c r="B1150" s="24"/>
      <c r="C1150" s="24"/>
      <c r="D1150" s="24"/>
      <c r="E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</row>
    <row r="1151" spans="1:23">
      <c r="A1151" s="26"/>
      <c r="B1151" s="24"/>
      <c r="C1151" s="24"/>
      <c r="D1151" s="24"/>
      <c r="E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</row>
    <row r="1152" spans="1:23">
      <c r="A1152" s="26"/>
      <c r="B1152" s="24"/>
      <c r="C1152" s="24"/>
      <c r="D1152" s="24"/>
      <c r="E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</row>
    <row r="1153" spans="1:23">
      <c r="A1153" s="26"/>
      <c r="B1153" s="24"/>
      <c r="C1153" s="24"/>
      <c r="D1153" s="24"/>
      <c r="E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</row>
    <row r="1154" spans="1:23">
      <c r="A1154" s="26"/>
      <c r="B1154" s="24"/>
      <c r="C1154" s="24"/>
      <c r="D1154" s="24"/>
      <c r="E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</row>
    <row r="1155" spans="1:23">
      <c r="A1155" s="26"/>
      <c r="B1155" s="24"/>
      <c r="C1155" s="24"/>
      <c r="D1155" s="24"/>
      <c r="E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</row>
    <row r="1156" spans="1:23">
      <c r="A1156" s="26"/>
      <c r="B1156" s="24"/>
      <c r="C1156" s="24"/>
      <c r="D1156" s="24"/>
      <c r="E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</row>
    <row r="1157" spans="1:23">
      <c r="A1157" s="26"/>
      <c r="B1157" s="24"/>
      <c r="C1157" s="24"/>
      <c r="D1157" s="24"/>
      <c r="E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</row>
    <row r="1158" spans="1:23">
      <c r="A1158" s="26"/>
      <c r="B1158" s="24"/>
      <c r="C1158" s="24"/>
      <c r="D1158" s="24"/>
      <c r="E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</row>
    <row r="1159" spans="1:23">
      <c r="A1159" s="26"/>
      <c r="B1159" s="24"/>
      <c r="C1159" s="24"/>
      <c r="D1159" s="24"/>
      <c r="E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</row>
    <row r="1160" spans="1:23">
      <c r="A1160" s="26"/>
      <c r="B1160" s="24"/>
      <c r="C1160" s="24"/>
      <c r="D1160" s="24"/>
      <c r="E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</row>
    <row r="1161" spans="1:23">
      <c r="A1161" s="26"/>
      <c r="B1161" s="24"/>
      <c r="C1161" s="24"/>
      <c r="D1161" s="24"/>
      <c r="E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</row>
    <row r="1162" spans="1:23">
      <c r="A1162" s="26"/>
      <c r="B1162" s="24"/>
      <c r="C1162" s="24"/>
      <c r="D1162" s="24"/>
      <c r="E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</row>
    <row r="1163" spans="1:23">
      <c r="A1163" s="26"/>
      <c r="B1163" s="24"/>
      <c r="C1163" s="24"/>
      <c r="D1163" s="24"/>
      <c r="E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</row>
    <row r="1164" spans="1:23">
      <c r="A1164" s="26"/>
      <c r="B1164" s="24"/>
      <c r="C1164" s="24"/>
      <c r="D1164" s="24"/>
      <c r="E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</row>
    <row r="1165" spans="1:23">
      <c r="A1165" s="26"/>
      <c r="B1165" s="24"/>
      <c r="C1165" s="24"/>
      <c r="D1165" s="24"/>
      <c r="E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</row>
    <row r="1166" spans="1:23">
      <c r="A1166" s="26"/>
      <c r="B1166" s="24"/>
      <c r="C1166" s="24"/>
      <c r="D1166" s="24"/>
      <c r="E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</row>
    <row r="1167" spans="1:23">
      <c r="A1167" s="26"/>
      <c r="B1167" s="24"/>
      <c r="C1167" s="24"/>
      <c r="D1167" s="24"/>
      <c r="E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</row>
    <row r="1168" spans="1:23">
      <c r="A1168" s="26"/>
      <c r="B1168" s="24"/>
      <c r="C1168" s="24"/>
      <c r="D1168" s="24"/>
      <c r="E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</row>
    <row r="1169" spans="1:23">
      <c r="A1169" s="26"/>
      <c r="B1169" s="24"/>
      <c r="C1169" s="24"/>
      <c r="D1169" s="24"/>
      <c r="E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</row>
    <row r="1170" spans="1:23">
      <c r="A1170" s="26"/>
      <c r="B1170" s="24"/>
      <c r="C1170" s="24"/>
      <c r="D1170" s="24"/>
      <c r="E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</row>
    <row r="1171" spans="1:23">
      <c r="A1171" s="26"/>
      <c r="B1171" s="24"/>
      <c r="C1171" s="24"/>
      <c r="D1171" s="24"/>
      <c r="E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</row>
    <row r="1172" spans="1:23">
      <c r="A1172" s="26"/>
      <c r="B1172" s="24"/>
      <c r="C1172" s="24"/>
      <c r="D1172" s="24"/>
      <c r="E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</row>
    <row r="1173" spans="1:23">
      <c r="A1173" s="26"/>
      <c r="B1173" s="24"/>
      <c r="C1173" s="24"/>
      <c r="D1173" s="24"/>
      <c r="E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</row>
    <row r="1174" spans="1:23">
      <c r="A1174" s="26"/>
      <c r="B1174" s="24"/>
      <c r="C1174" s="24"/>
      <c r="D1174" s="24"/>
      <c r="E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</row>
    <row r="1175" spans="1:23">
      <c r="A1175" s="26"/>
      <c r="B1175" s="24"/>
      <c r="C1175" s="24"/>
      <c r="D1175" s="24"/>
      <c r="E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</row>
    <row r="1176" spans="1:23">
      <c r="A1176" s="26"/>
      <c r="B1176" s="24"/>
      <c r="C1176" s="24"/>
      <c r="D1176" s="24"/>
      <c r="E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</row>
    <row r="1177" spans="1:23">
      <c r="A1177" s="26"/>
      <c r="B1177" s="24"/>
      <c r="C1177" s="24"/>
      <c r="D1177" s="24"/>
      <c r="E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</row>
    <row r="1178" spans="1:23">
      <c r="A1178" s="26"/>
      <c r="B1178" s="24"/>
      <c r="C1178" s="24"/>
      <c r="D1178" s="24"/>
      <c r="E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</row>
    <row r="1179" spans="1:23">
      <c r="A1179" s="26"/>
      <c r="B1179" s="24"/>
      <c r="C1179" s="24"/>
      <c r="D1179" s="24"/>
      <c r="E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</row>
    <row r="1180" spans="1:23">
      <c r="A1180" s="26"/>
      <c r="B1180" s="24"/>
      <c r="C1180" s="24"/>
      <c r="D1180" s="24"/>
      <c r="E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</row>
    <row r="1181" spans="1:23">
      <c r="A1181" s="26"/>
      <c r="B1181" s="24"/>
      <c r="C1181" s="24"/>
      <c r="D1181" s="24"/>
      <c r="E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</row>
    <row r="1182" spans="1:23">
      <c r="A1182" s="26"/>
      <c r="B1182" s="24"/>
      <c r="C1182" s="24"/>
      <c r="D1182" s="24"/>
      <c r="E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</row>
    <row r="1183" spans="1:23">
      <c r="A1183" s="26"/>
      <c r="B1183" s="24"/>
      <c r="C1183" s="24"/>
      <c r="D1183" s="24"/>
      <c r="E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</row>
    <row r="1184" spans="1:23">
      <c r="A1184" s="26"/>
      <c r="B1184" s="24"/>
      <c r="C1184" s="24"/>
      <c r="D1184" s="24"/>
      <c r="E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</row>
    <row r="1185" spans="1:23">
      <c r="A1185" s="26"/>
      <c r="B1185" s="24"/>
      <c r="C1185" s="24"/>
      <c r="D1185" s="24"/>
      <c r="E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</row>
    <row r="1186" spans="1:23">
      <c r="A1186" s="26"/>
      <c r="B1186" s="24"/>
      <c r="C1186" s="24"/>
      <c r="D1186" s="24"/>
      <c r="E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</row>
    <row r="1187" spans="1:23">
      <c r="A1187" s="26"/>
      <c r="B1187" s="24"/>
      <c r="C1187" s="24"/>
      <c r="D1187" s="24"/>
      <c r="E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</row>
    <row r="1188" spans="1:23">
      <c r="A1188" s="26"/>
      <c r="B1188" s="24"/>
      <c r="C1188" s="24"/>
      <c r="D1188" s="24"/>
      <c r="E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</row>
    <row r="1189" spans="1:23">
      <c r="A1189" s="26"/>
      <c r="B1189" s="24"/>
      <c r="C1189" s="24"/>
      <c r="D1189" s="24"/>
      <c r="E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</row>
    <row r="1190" spans="1:23">
      <c r="A1190" s="26"/>
      <c r="B1190" s="24"/>
      <c r="C1190" s="24"/>
      <c r="D1190" s="24"/>
      <c r="E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</row>
    <row r="1191" spans="1:23">
      <c r="A1191" s="26"/>
      <c r="B1191" s="24"/>
      <c r="C1191" s="24"/>
      <c r="D1191" s="24"/>
      <c r="E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</row>
    <row r="1192" spans="1:23">
      <c r="A1192" s="26"/>
      <c r="B1192" s="24"/>
      <c r="C1192" s="24"/>
      <c r="D1192" s="24"/>
      <c r="E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</row>
    <row r="1193" spans="1:23">
      <c r="A1193" s="26"/>
      <c r="B1193" s="24"/>
      <c r="C1193" s="24"/>
      <c r="D1193" s="24"/>
      <c r="E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</row>
    <row r="1194" spans="1:23">
      <c r="A1194" s="26"/>
      <c r="B1194" s="24"/>
      <c r="C1194" s="24"/>
      <c r="D1194" s="24"/>
      <c r="E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</row>
    <row r="1195" spans="1:23">
      <c r="A1195" s="26"/>
      <c r="B1195" s="24"/>
      <c r="C1195" s="24"/>
      <c r="D1195" s="24"/>
      <c r="E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</row>
    <row r="1196" spans="1:23">
      <c r="A1196" s="26"/>
      <c r="B1196" s="24"/>
      <c r="C1196" s="24"/>
      <c r="D1196" s="24"/>
      <c r="E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</row>
    <row r="1197" spans="1:23">
      <c r="A1197" s="26"/>
      <c r="B1197" s="24"/>
      <c r="C1197" s="24"/>
      <c r="D1197" s="24"/>
      <c r="E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</row>
    <row r="1198" spans="1:23">
      <c r="A1198" s="26"/>
      <c r="B1198" s="24"/>
      <c r="C1198" s="24"/>
      <c r="D1198" s="24"/>
      <c r="E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</row>
    <row r="1199" spans="1:23">
      <c r="A1199" s="26"/>
      <c r="B1199" s="24"/>
      <c r="C1199" s="24"/>
      <c r="D1199" s="24"/>
      <c r="E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</row>
    <row r="1200" spans="1:23">
      <c r="A1200" s="26"/>
      <c r="B1200" s="24"/>
      <c r="C1200" s="24"/>
      <c r="D1200" s="24"/>
      <c r="E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</row>
    <row r="1201" spans="1:23">
      <c r="A1201" s="26"/>
      <c r="B1201" s="24"/>
      <c r="C1201" s="24"/>
      <c r="D1201" s="24"/>
      <c r="E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</row>
    <row r="1202" spans="1:23">
      <c r="A1202" s="26"/>
      <c r="B1202" s="24"/>
      <c r="C1202" s="24"/>
      <c r="D1202" s="24"/>
      <c r="E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</row>
    <row r="1203" spans="1:23">
      <c r="A1203" s="26"/>
      <c r="B1203" s="24"/>
      <c r="C1203" s="24"/>
      <c r="D1203" s="24"/>
      <c r="E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</row>
    <row r="1204" spans="1:23">
      <c r="A1204" s="26"/>
      <c r="B1204" s="24"/>
      <c r="C1204" s="24"/>
      <c r="D1204" s="24"/>
      <c r="E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</row>
    <row r="1205" spans="1:23">
      <c r="A1205" s="26"/>
      <c r="B1205" s="24"/>
      <c r="C1205" s="24"/>
      <c r="D1205" s="24"/>
      <c r="E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</row>
    <row r="1206" spans="1:23">
      <c r="A1206" s="26"/>
      <c r="B1206" s="24"/>
      <c r="C1206" s="24"/>
      <c r="D1206" s="24"/>
      <c r="E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</row>
    <row r="1207" spans="1:23">
      <c r="A1207" s="26"/>
      <c r="B1207" s="24"/>
      <c r="C1207" s="24"/>
      <c r="D1207" s="24"/>
      <c r="E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</row>
    <row r="1208" spans="1:23">
      <c r="A1208" s="26"/>
      <c r="B1208" s="24"/>
      <c r="C1208" s="24"/>
      <c r="D1208" s="24"/>
      <c r="E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</row>
    <row r="1209" spans="1:23">
      <c r="A1209" s="26"/>
      <c r="B1209" s="24"/>
      <c r="C1209" s="24"/>
      <c r="D1209" s="24"/>
      <c r="E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</row>
    <row r="1210" spans="1:23">
      <c r="A1210" s="26"/>
      <c r="B1210" s="24"/>
      <c r="C1210" s="24"/>
      <c r="D1210" s="24"/>
      <c r="E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</row>
    <row r="1211" spans="1:23">
      <c r="A1211" s="26"/>
      <c r="B1211" s="24"/>
      <c r="C1211" s="24"/>
      <c r="D1211" s="24"/>
      <c r="E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</row>
    <row r="1212" spans="1:23">
      <c r="A1212" s="26"/>
      <c r="B1212" s="24"/>
      <c r="C1212" s="24"/>
      <c r="D1212" s="24"/>
      <c r="E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</row>
    <row r="1213" spans="1:23">
      <c r="A1213" s="26"/>
      <c r="B1213" s="24"/>
      <c r="C1213" s="24"/>
      <c r="D1213" s="24"/>
      <c r="E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</row>
    <row r="1214" spans="1:23">
      <c r="A1214" s="26"/>
      <c r="B1214" s="24"/>
      <c r="C1214" s="24"/>
      <c r="D1214" s="24"/>
      <c r="E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</row>
    <row r="1215" spans="1:23">
      <c r="A1215" s="26"/>
      <c r="B1215" s="24"/>
      <c r="C1215" s="24"/>
      <c r="D1215" s="24"/>
      <c r="E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</row>
    <row r="1216" spans="1:23">
      <c r="A1216" s="26"/>
      <c r="B1216" s="24"/>
      <c r="C1216" s="24"/>
      <c r="D1216" s="24"/>
      <c r="E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</row>
    <row r="1217" spans="1:23">
      <c r="A1217" s="26"/>
      <c r="B1217" s="24"/>
      <c r="C1217" s="24"/>
      <c r="D1217" s="24"/>
      <c r="E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</row>
    <row r="1218" spans="1:23">
      <c r="A1218" s="26"/>
      <c r="B1218" s="24"/>
      <c r="C1218" s="24"/>
      <c r="D1218" s="24"/>
      <c r="E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</row>
    <row r="1219" spans="1:23">
      <c r="A1219" s="26"/>
      <c r="B1219" s="24"/>
      <c r="C1219" s="24"/>
      <c r="D1219" s="24"/>
      <c r="E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</row>
    <row r="1220" spans="1:23">
      <c r="A1220" s="26"/>
      <c r="B1220" s="24"/>
      <c r="C1220" s="24"/>
      <c r="D1220" s="24"/>
      <c r="E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</row>
    <row r="1221" spans="1:23">
      <c r="A1221" s="26"/>
      <c r="B1221" s="24"/>
      <c r="C1221" s="24"/>
      <c r="D1221" s="24"/>
      <c r="E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</row>
    <row r="1222" spans="1:23">
      <c r="A1222" s="26"/>
      <c r="B1222" s="24"/>
      <c r="C1222" s="24"/>
      <c r="D1222" s="24"/>
      <c r="E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</row>
    <row r="1223" spans="1:23">
      <c r="A1223" s="26"/>
      <c r="B1223" s="24"/>
      <c r="C1223" s="24"/>
      <c r="D1223" s="24"/>
      <c r="E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</row>
    <row r="1224" spans="1:23">
      <c r="A1224" s="26"/>
      <c r="B1224" s="24"/>
      <c r="C1224" s="24"/>
      <c r="D1224" s="24"/>
      <c r="E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</row>
    <row r="1225" spans="1:23">
      <c r="A1225" s="26"/>
      <c r="B1225" s="24"/>
      <c r="C1225" s="24"/>
      <c r="D1225" s="24"/>
      <c r="E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</row>
    <row r="1226" spans="1:23">
      <c r="A1226" s="26"/>
      <c r="B1226" s="24"/>
      <c r="C1226" s="24"/>
      <c r="D1226" s="24"/>
      <c r="E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</row>
    <row r="1227" spans="1:23">
      <c r="A1227" s="26"/>
      <c r="B1227" s="24"/>
      <c r="C1227" s="24"/>
      <c r="D1227" s="24"/>
      <c r="E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</row>
    <row r="1228" spans="1:23">
      <c r="A1228" s="26"/>
      <c r="B1228" s="24"/>
      <c r="C1228" s="24"/>
      <c r="D1228" s="24"/>
      <c r="E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</row>
    <row r="1229" spans="1:23">
      <c r="A1229" s="26"/>
      <c r="B1229" s="24"/>
      <c r="C1229" s="24"/>
      <c r="D1229" s="24"/>
      <c r="E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</row>
    <row r="1230" spans="1:23">
      <c r="A1230" s="26"/>
      <c r="B1230" s="24"/>
      <c r="C1230" s="24"/>
      <c r="D1230" s="24"/>
      <c r="E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</row>
    <row r="1231" spans="1:23">
      <c r="A1231" s="26"/>
      <c r="B1231" s="24"/>
      <c r="C1231" s="24"/>
      <c r="D1231" s="24"/>
      <c r="E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</row>
    <row r="1232" spans="1:23">
      <c r="A1232" s="26"/>
      <c r="B1232" s="24"/>
      <c r="C1232" s="24"/>
      <c r="D1232" s="24"/>
      <c r="E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</row>
    <row r="1233" spans="1:23">
      <c r="A1233" s="26"/>
      <c r="B1233" s="24"/>
      <c r="C1233" s="24"/>
      <c r="D1233" s="24"/>
      <c r="E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</row>
    <row r="1234" spans="1:23">
      <c r="A1234" s="26"/>
      <c r="B1234" s="24"/>
      <c r="C1234" s="24"/>
      <c r="D1234" s="24"/>
      <c r="E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</row>
    <row r="1235" spans="1:23">
      <c r="A1235" s="26"/>
      <c r="B1235" s="24"/>
      <c r="C1235" s="24"/>
      <c r="D1235" s="24"/>
      <c r="E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</row>
    <row r="1236" spans="1:23">
      <c r="A1236" s="26"/>
      <c r="B1236" s="24"/>
      <c r="C1236" s="24"/>
      <c r="D1236" s="24"/>
      <c r="E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</row>
    <row r="1237" spans="1:23">
      <c r="A1237" s="26"/>
      <c r="B1237" s="24"/>
      <c r="C1237" s="24"/>
      <c r="D1237" s="24"/>
      <c r="E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</row>
    <row r="1238" spans="1:23">
      <c r="A1238" s="26"/>
      <c r="B1238" s="24"/>
      <c r="C1238" s="24"/>
      <c r="D1238" s="24"/>
      <c r="E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</row>
    <row r="1239" spans="1:23">
      <c r="A1239" s="26"/>
      <c r="B1239" s="24"/>
      <c r="C1239" s="24"/>
      <c r="D1239" s="24"/>
      <c r="E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</row>
    <row r="1240" spans="1:23">
      <c r="A1240" s="26"/>
      <c r="B1240" s="24"/>
      <c r="C1240" s="24"/>
      <c r="D1240" s="24"/>
      <c r="E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</row>
    <row r="1241" spans="1:23">
      <c r="A1241" s="26"/>
      <c r="B1241" s="24"/>
      <c r="C1241" s="24"/>
      <c r="D1241" s="24"/>
      <c r="E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</row>
    <row r="1242" spans="1:23">
      <c r="A1242" s="26"/>
      <c r="B1242" s="24"/>
      <c r="C1242" s="24"/>
      <c r="D1242" s="24"/>
      <c r="E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</row>
    <row r="1243" spans="1:23">
      <c r="A1243" s="26"/>
      <c r="B1243" s="24"/>
      <c r="C1243" s="24"/>
      <c r="D1243" s="24"/>
      <c r="E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</row>
    <row r="1244" spans="1:23">
      <c r="A1244" s="26"/>
      <c r="B1244" s="24"/>
      <c r="C1244" s="24"/>
      <c r="D1244" s="24"/>
      <c r="E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</row>
    <row r="1245" spans="1:23">
      <c r="A1245" s="26"/>
      <c r="B1245" s="24"/>
      <c r="C1245" s="24"/>
      <c r="D1245" s="24"/>
      <c r="E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</row>
    <row r="1246" spans="1:23">
      <c r="A1246" s="26"/>
      <c r="B1246" s="24"/>
      <c r="C1246" s="24"/>
      <c r="D1246" s="24"/>
      <c r="E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</row>
    <row r="1247" spans="1:23">
      <c r="A1247" s="26"/>
      <c r="B1247" s="24"/>
      <c r="C1247" s="24"/>
      <c r="D1247" s="24"/>
      <c r="E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</row>
    <row r="1248" spans="1:23">
      <c r="A1248" s="26"/>
      <c r="B1248" s="24"/>
      <c r="C1248" s="24"/>
      <c r="D1248" s="24"/>
      <c r="E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</row>
    <row r="1249" spans="1:23">
      <c r="A1249" s="26"/>
      <c r="B1249" s="24"/>
      <c r="C1249" s="24"/>
      <c r="D1249" s="24"/>
      <c r="E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</row>
    <row r="1250" spans="1:23">
      <c r="A1250" s="26"/>
      <c r="B1250" s="24"/>
      <c r="C1250" s="24"/>
      <c r="D1250" s="24"/>
      <c r="E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</row>
    <row r="1251" spans="1:23">
      <c r="A1251" s="26"/>
      <c r="B1251" s="24"/>
      <c r="C1251" s="24"/>
      <c r="D1251" s="24"/>
      <c r="E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</row>
    <row r="1252" spans="1:23">
      <c r="A1252" s="26"/>
      <c r="B1252" s="24"/>
      <c r="C1252" s="24"/>
      <c r="D1252" s="24"/>
      <c r="E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</row>
    <row r="1253" spans="1:23">
      <c r="A1253" s="26"/>
      <c r="B1253" s="24"/>
      <c r="C1253" s="24"/>
      <c r="D1253" s="24"/>
      <c r="E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</row>
    <row r="1254" spans="1:23">
      <c r="A1254" s="26"/>
      <c r="B1254" s="24"/>
      <c r="C1254" s="24"/>
      <c r="D1254" s="24"/>
      <c r="E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</row>
    <row r="1255" spans="1:23">
      <c r="A1255" s="26"/>
      <c r="B1255" s="24"/>
      <c r="C1255" s="24"/>
      <c r="D1255" s="24"/>
      <c r="E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</row>
    <row r="1256" spans="1:23">
      <c r="A1256" s="26"/>
      <c r="B1256" s="24"/>
      <c r="C1256" s="24"/>
      <c r="D1256" s="24"/>
      <c r="E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</row>
    <row r="1257" spans="1:23">
      <c r="A1257" s="26"/>
      <c r="B1257" s="24"/>
      <c r="C1257" s="24"/>
      <c r="D1257" s="24"/>
      <c r="E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</row>
    <row r="1258" spans="1:23">
      <c r="A1258" s="26"/>
      <c r="B1258" s="24"/>
      <c r="C1258" s="24"/>
      <c r="D1258" s="24"/>
      <c r="E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</row>
    <row r="1259" spans="1:23">
      <c r="A1259" s="26"/>
      <c r="B1259" s="24"/>
      <c r="C1259" s="24"/>
      <c r="D1259" s="24"/>
      <c r="E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</row>
    <row r="1260" spans="1:23">
      <c r="A1260" s="26"/>
      <c r="B1260" s="24"/>
      <c r="C1260" s="24"/>
      <c r="D1260" s="24"/>
      <c r="E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</row>
    <row r="1261" spans="1:23">
      <c r="A1261" s="26"/>
      <c r="B1261" s="24"/>
      <c r="C1261" s="24"/>
      <c r="D1261" s="24"/>
      <c r="E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</row>
    <row r="1262" spans="1:23">
      <c r="A1262" s="26"/>
      <c r="B1262" s="24"/>
      <c r="C1262" s="24"/>
      <c r="D1262" s="24"/>
      <c r="E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</row>
    <row r="1263" spans="1:23">
      <c r="A1263" s="26"/>
      <c r="B1263" s="24"/>
      <c r="C1263" s="24"/>
      <c r="D1263" s="24"/>
      <c r="E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</row>
    <row r="1264" spans="1:23">
      <c r="A1264" s="26"/>
      <c r="B1264" s="24"/>
      <c r="C1264" s="24"/>
      <c r="D1264" s="24"/>
      <c r="E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</row>
    <row r="1265" spans="1:23">
      <c r="A1265" s="26"/>
      <c r="B1265" s="24"/>
      <c r="C1265" s="24"/>
      <c r="D1265" s="24"/>
      <c r="E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</row>
    <row r="1266" spans="1:23">
      <c r="A1266" s="26"/>
      <c r="B1266" s="24"/>
      <c r="C1266" s="24"/>
      <c r="D1266" s="24"/>
      <c r="E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</row>
    <row r="1267" spans="1:23">
      <c r="A1267" s="26"/>
      <c r="B1267" s="24"/>
      <c r="C1267" s="24"/>
      <c r="D1267" s="24"/>
      <c r="E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</row>
    <row r="1268" spans="1:23">
      <c r="A1268" s="26"/>
      <c r="B1268" s="24"/>
      <c r="C1268" s="24"/>
      <c r="D1268" s="24"/>
      <c r="E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</row>
    <row r="1269" spans="1:23">
      <c r="A1269" s="26"/>
      <c r="B1269" s="24"/>
      <c r="C1269" s="24"/>
      <c r="D1269" s="24"/>
      <c r="E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</row>
    <row r="1270" spans="1:23">
      <c r="A1270" s="26"/>
      <c r="B1270" s="24"/>
      <c r="C1270" s="24"/>
      <c r="D1270" s="24"/>
      <c r="E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</row>
    <row r="1271" spans="1:23">
      <c r="A1271" s="26"/>
      <c r="B1271" s="24"/>
      <c r="C1271" s="24"/>
      <c r="D1271" s="24"/>
      <c r="E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</row>
    <row r="1272" spans="1:23">
      <c r="A1272" s="26"/>
      <c r="B1272" s="24"/>
      <c r="C1272" s="24"/>
      <c r="D1272" s="24"/>
      <c r="E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</row>
    <row r="1273" spans="1:23">
      <c r="A1273" s="26"/>
      <c r="B1273" s="24"/>
      <c r="C1273" s="24"/>
      <c r="D1273" s="24"/>
      <c r="E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</row>
    <row r="1274" spans="1:23">
      <c r="A1274" s="26"/>
      <c r="B1274" s="24"/>
      <c r="C1274" s="24"/>
      <c r="D1274" s="24"/>
      <c r="E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</row>
    <row r="1275" spans="1:23">
      <c r="A1275" s="26"/>
      <c r="B1275" s="24"/>
      <c r="C1275" s="24"/>
      <c r="D1275" s="24"/>
      <c r="E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</row>
    <row r="1276" spans="1:23">
      <c r="A1276" s="26"/>
      <c r="B1276" s="24"/>
      <c r="C1276" s="24"/>
      <c r="D1276" s="24"/>
      <c r="E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</row>
    <row r="1277" spans="1:23">
      <c r="A1277" s="26"/>
      <c r="B1277" s="24"/>
      <c r="C1277" s="24"/>
      <c r="D1277" s="24"/>
      <c r="E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</row>
    <row r="1278" spans="1:23">
      <c r="A1278" s="26"/>
      <c r="B1278" s="24"/>
      <c r="C1278" s="24"/>
      <c r="D1278" s="24"/>
      <c r="E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</row>
    <row r="1279" spans="1:23">
      <c r="A1279" s="26"/>
      <c r="B1279" s="24"/>
      <c r="C1279" s="24"/>
      <c r="D1279" s="24"/>
      <c r="E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</row>
    <row r="1280" spans="1:23">
      <c r="A1280" s="26"/>
      <c r="B1280" s="24"/>
      <c r="C1280" s="24"/>
      <c r="D1280" s="24"/>
      <c r="E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</row>
    <row r="1281" spans="1:23">
      <c r="A1281" s="26"/>
      <c r="B1281" s="24"/>
      <c r="C1281" s="24"/>
      <c r="D1281" s="24"/>
      <c r="E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</row>
    <row r="1282" spans="1:23">
      <c r="A1282" s="26"/>
      <c r="B1282" s="24"/>
      <c r="C1282" s="24"/>
      <c r="D1282" s="24"/>
      <c r="E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</row>
    <row r="1283" spans="1:23">
      <c r="A1283" s="26"/>
      <c r="B1283" s="24"/>
      <c r="C1283" s="24"/>
      <c r="D1283" s="24"/>
      <c r="E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</row>
    <row r="1284" spans="1:23">
      <c r="A1284" s="26"/>
      <c r="B1284" s="24"/>
      <c r="C1284" s="24"/>
      <c r="D1284" s="24"/>
      <c r="E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</row>
    <row r="1285" spans="1:23">
      <c r="A1285" s="26"/>
      <c r="B1285" s="24"/>
      <c r="C1285" s="24"/>
      <c r="D1285" s="24"/>
      <c r="E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</row>
    <row r="1286" spans="1:23">
      <c r="A1286" s="26"/>
      <c r="B1286" s="24"/>
      <c r="C1286" s="24"/>
      <c r="D1286" s="24"/>
      <c r="E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</row>
    <row r="1287" spans="1:23">
      <c r="A1287" s="26"/>
      <c r="B1287" s="24"/>
      <c r="C1287" s="24"/>
      <c r="D1287" s="24"/>
      <c r="E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</row>
    <row r="1288" spans="1:23">
      <c r="A1288" s="26"/>
      <c r="B1288" s="24"/>
      <c r="C1288" s="24"/>
      <c r="D1288" s="24"/>
      <c r="E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</row>
    <row r="1289" spans="1:23">
      <c r="A1289" s="26"/>
      <c r="B1289" s="24"/>
      <c r="C1289" s="24"/>
      <c r="D1289" s="24"/>
      <c r="E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</row>
    <row r="1290" spans="1:23">
      <c r="A1290" s="26"/>
      <c r="B1290" s="24"/>
      <c r="C1290" s="24"/>
      <c r="D1290" s="24"/>
      <c r="E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</row>
    <row r="1291" spans="1:23">
      <c r="A1291" s="26"/>
      <c r="B1291" s="24"/>
      <c r="C1291" s="24"/>
      <c r="D1291" s="24"/>
      <c r="E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</row>
    <row r="1292" spans="1:23">
      <c r="A1292" s="26"/>
      <c r="B1292" s="24"/>
      <c r="C1292" s="24"/>
      <c r="D1292" s="24"/>
      <c r="E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</row>
    <row r="1293" spans="1:23">
      <c r="A1293" s="26"/>
      <c r="B1293" s="24"/>
      <c r="C1293" s="24"/>
      <c r="D1293" s="24"/>
      <c r="E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</row>
    <row r="1294" spans="1:23">
      <c r="A1294" s="26"/>
      <c r="B1294" s="24"/>
      <c r="C1294" s="24"/>
      <c r="D1294" s="24"/>
      <c r="E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</row>
    <row r="1295" spans="1:23">
      <c r="A1295" s="26"/>
      <c r="B1295" s="24"/>
      <c r="C1295" s="24"/>
      <c r="D1295" s="24"/>
      <c r="E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</row>
    <row r="1296" spans="1:23">
      <c r="A1296" s="26"/>
      <c r="B1296" s="24"/>
      <c r="C1296" s="24"/>
      <c r="D1296" s="24"/>
      <c r="E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</row>
    <row r="1297" spans="1:23">
      <c r="A1297" s="26"/>
      <c r="B1297" s="24"/>
      <c r="C1297" s="24"/>
      <c r="D1297" s="24"/>
      <c r="E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</row>
    <row r="1298" spans="1:23">
      <c r="A1298" s="26"/>
      <c r="B1298" s="24"/>
      <c r="C1298" s="24"/>
      <c r="D1298" s="24"/>
      <c r="E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</row>
    <row r="1299" spans="1:23">
      <c r="A1299" s="26"/>
      <c r="B1299" s="24"/>
      <c r="C1299" s="24"/>
      <c r="D1299" s="24"/>
      <c r="E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</row>
    <row r="1300" spans="1:23">
      <c r="A1300" s="26"/>
      <c r="B1300" s="24"/>
      <c r="C1300" s="24"/>
      <c r="D1300" s="24"/>
      <c r="E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</row>
    <row r="1301" spans="1:23">
      <c r="A1301" s="26"/>
      <c r="B1301" s="24"/>
      <c r="C1301" s="24"/>
      <c r="D1301" s="24"/>
      <c r="E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</row>
    <row r="1302" spans="1:23">
      <c r="A1302" s="26"/>
      <c r="B1302" s="24"/>
      <c r="C1302" s="24"/>
      <c r="D1302" s="24"/>
      <c r="E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</row>
    <row r="1303" spans="1:23">
      <c r="A1303" s="26"/>
      <c r="B1303" s="24"/>
      <c r="C1303" s="24"/>
      <c r="D1303" s="24"/>
      <c r="E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</row>
    <row r="1304" spans="1:23">
      <c r="A1304" s="26"/>
      <c r="B1304" s="24"/>
      <c r="C1304" s="24"/>
      <c r="D1304" s="24"/>
      <c r="E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</row>
    <row r="1305" spans="1:23">
      <c r="A1305" s="26"/>
      <c r="B1305" s="24"/>
      <c r="C1305" s="24"/>
      <c r="D1305" s="24"/>
      <c r="E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</row>
    <row r="1306" spans="1:23">
      <c r="A1306" s="26"/>
      <c r="B1306" s="24"/>
      <c r="C1306" s="24"/>
      <c r="D1306" s="24"/>
      <c r="E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</row>
    <row r="1307" spans="1:23">
      <c r="A1307" s="26"/>
      <c r="B1307" s="24"/>
      <c r="C1307" s="24"/>
      <c r="D1307" s="24"/>
      <c r="E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</row>
    <row r="1308" spans="1:23">
      <c r="A1308" s="26"/>
      <c r="B1308" s="24"/>
      <c r="C1308" s="24"/>
      <c r="D1308" s="24"/>
      <c r="E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</row>
    <row r="1309" spans="1:23">
      <c r="A1309" s="26"/>
      <c r="B1309" s="24"/>
      <c r="C1309" s="24"/>
      <c r="D1309" s="24"/>
      <c r="E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</row>
    <row r="1310" spans="1:23">
      <c r="A1310" s="26"/>
      <c r="B1310" s="24"/>
      <c r="C1310" s="24"/>
      <c r="D1310" s="24"/>
      <c r="E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</row>
    <row r="1311" spans="1:23">
      <c r="A1311" s="26"/>
      <c r="B1311" s="24"/>
      <c r="C1311" s="24"/>
      <c r="D1311" s="24"/>
      <c r="E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</row>
    <row r="1312" spans="1:23">
      <c r="A1312" s="26"/>
      <c r="B1312" s="24"/>
      <c r="C1312" s="24"/>
      <c r="D1312" s="24"/>
      <c r="E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</row>
    <row r="1313" spans="1:23">
      <c r="A1313" s="26"/>
      <c r="B1313" s="24"/>
      <c r="C1313" s="24"/>
      <c r="D1313" s="24"/>
      <c r="E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</row>
    <row r="1314" spans="1:23">
      <c r="A1314" s="26"/>
      <c r="B1314" s="24"/>
      <c r="C1314" s="24"/>
      <c r="D1314" s="24"/>
      <c r="E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</row>
    <row r="1315" spans="1:23">
      <c r="A1315" s="26"/>
      <c r="B1315" s="24"/>
      <c r="C1315" s="24"/>
      <c r="D1315" s="24"/>
      <c r="E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</row>
    <row r="1316" spans="1:23">
      <c r="A1316" s="26"/>
      <c r="B1316" s="24"/>
      <c r="C1316" s="24"/>
      <c r="D1316" s="24"/>
      <c r="E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</row>
    <row r="1317" spans="1:23">
      <c r="A1317" s="26"/>
      <c r="B1317" s="24"/>
      <c r="C1317" s="24"/>
      <c r="D1317" s="24"/>
      <c r="E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</row>
    <row r="1318" spans="1:23">
      <c r="A1318" s="26"/>
      <c r="B1318" s="24"/>
      <c r="C1318" s="24"/>
      <c r="D1318" s="24"/>
      <c r="E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</row>
    <row r="1319" spans="1:23">
      <c r="A1319" s="26"/>
      <c r="B1319" s="24"/>
      <c r="C1319" s="24"/>
      <c r="D1319" s="24"/>
      <c r="E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</row>
    <row r="1320" spans="1:23">
      <c r="A1320" s="26"/>
      <c r="B1320" s="24"/>
      <c r="C1320" s="24"/>
      <c r="D1320" s="24"/>
      <c r="E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</row>
    <row r="1321" spans="1:23">
      <c r="A1321" s="26"/>
      <c r="B1321" s="24"/>
      <c r="C1321" s="24"/>
      <c r="D1321" s="24"/>
      <c r="E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</row>
    <row r="1322" spans="1:23">
      <c r="A1322" s="26"/>
      <c r="B1322" s="24"/>
      <c r="C1322" s="24"/>
      <c r="D1322" s="24"/>
      <c r="E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</row>
    <row r="1323" spans="1:23">
      <c r="A1323" s="26"/>
      <c r="B1323" s="24"/>
      <c r="C1323" s="24"/>
      <c r="D1323" s="24"/>
      <c r="E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</row>
    <row r="1324" spans="1:23">
      <c r="A1324" s="26"/>
      <c r="B1324" s="24"/>
      <c r="C1324" s="24"/>
      <c r="D1324" s="24"/>
      <c r="E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</row>
    <row r="1325" spans="1:23">
      <c r="A1325" s="26"/>
      <c r="B1325" s="24"/>
      <c r="C1325" s="24"/>
      <c r="D1325" s="24"/>
      <c r="E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</row>
    <row r="1326" spans="1:23">
      <c r="A1326" s="26"/>
      <c r="B1326" s="24"/>
      <c r="C1326" s="24"/>
      <c r="D1326" s="24"/>
      <c r="E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</row>
    <row r="1327" spans="1:23">
      <c r="A1327" s="26"/>
      <c r="B1327" s="24"/>
      <c r="C1327" s="24"/>
      <c r="D1327" s="24"/>
      <c r="E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</row>
    <row r="1328" spans="1:23">
      <c r="A1328" s="26"/>
      <c r="B1328" s="24"/>
      <c r="C1328" s="24"/>
      <c r="D1328" s="24"/>
      <c r="E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</row>
    <row r="1329" spans="1:23">
      <c r="A1329" s="26"/>
      <c r="B1329" s="24"/>
      <c r="C1329" s="24"/>
      <c r="D1329" s="24"/>
      <c r="E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</row>
    <row r="1330" spans="1:23">
      <c r="A1330" s="26"/>
      <c r="B1330" s="24"/>
      <c r="C1330" s="24"/>
      <c r="D1330" s="24"/>
      <c r="E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</row>
    <row r="1331" spans="1:23">
      <c r="A1331" s="26"/>
      <c r="B1331" s="24"/>
      <c r="C1331" s="24"/>
      <c r="D1331" s="24"/>
      <c r="E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</row>
    <row r="1332" spans="1:23">
      <c r="A1332" s="26"/>
      <c r="B1332" s="24"/>
      <c r="C1332" s="24"/>
      <c r="D1332" s="24"/>
      <c r="E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</row>
    <row r="1333" spans="1:23">
      <c r="A1333" s="26"/>
      <c r="B1333" s="24"/>
      <c r="C1333" s="24"/>
      <c r="D1333" s="24"/>
      <c r="E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</row>
    <row r="1334" spans="1:23">
      <c r="A1334" s="26"/>
      <c r="B1334" s="24"/>
      <c r="C1334" s="24"/>
      <c r="D1334" s="24"/>
      <c r="E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</row>
    <row r="1335" spans="1:23">
      <c r="A1335" s="26"/>
      <c r="B1335" s="24"/>
      <c r="C1335" s="24"/>
      <c r="D1335" s="24"/>
      <c r="E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</row>
    <row r="1336" spans="1:23">
      <c r="A1336" s="26"/>
      <c r="B1336" s="24"/>
      <c r="C1336" s="24"/>
      <c r="D1336" s="24"/>
      <c r="E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</row>
    <row r="1337" spans="1:23">
      <c r="A1337" s="26"/>
      <c r="B1337" s="24"/>
      <c r="C1337" s="24"/>
      <c r="D1337" s="24"/>
      <c r="E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</row>
    <row r="1338" spans="1:23">
      <c r="A1338" s="26"/>
      <c r="B1338" s="24"/>
      <c r="C1338" s="24"/>
      <c r="D1338" s="24"/>
      <c r="E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</row>
    <row r="1339" spans="1:23">
      <c r="A1339" s="26"/>
      <c r="B1339" s="24"/>
      <c r="C1339" s="24"/>
      <c r="D1339" s="24"/>
      <c r="E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</row>
    <row r="1340" spans="1:23">
      <c r="A1340" s="26"/>
      <c r="B1340" s="24"/>
      <c r="C1340" s="24"/>
      <c r="D1340" s="24"/>
      <c r="E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</row>
    <row r="1341" spans="1:23">
      <c r="A1341" s="26"/>
      <c r="B1341" s="24"/>
      <c r="C1341" s="24"/>
      <c r="D1341" s="24"/>
      <c r="E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</row>
    <row r="1342" spans="1:23">
      <c r="A1342" s="26"/>
      <c r="B1342" s="24"/>
      <c r="C1342" s="24"/>
      <c r="D1342" s="24"/>
      <c r="E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</row>
    <row r="1343" spans="1:23">
      <c r="A1343" s="26"/>
      <c r="B1343" s="24"/>
      <c r="C1343" s="24"/>
      <c r="D1343" s="24"/>
      <c r="E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</row>
    <row r="1344" spans="1:23">
      <c r="A1344" s="26"/>
      <c r="B1344" s="24"/>
      <c r="C1344" s="24"/>
      <c r="D1344" s="24"/>
      <c r="E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</row>
    <row r="1345" spans="1:23">
      <c r="A1345" s="26"/>
      <c r="B1345" s="24"/>
      <c r="C1345" s="24"/>
      <c r="D1345" s="24"/>
      <c r="E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</row>
    <row r="1346" spans="1:23">
      <c r="A1346" s="26"/>
      <c r="B1346" s="24"/>
      <c r="C1346" s="24"/>
      <c r="D1346" s="24"/>
      <c r="E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</row>
    <row r="1347" spans="1:23">
      <c r="A1347" s="26"/>
      <c r="B1347" s="24"/>
      <c r="C1347" s="24"/>
      <c r="D1347" s="24"/>
      <c r="E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</row>
    <row r="1348" spans="1:23">
      <c r="A1348" s="26"/>
      <c r="B1348" s="24"/>
      <c r="C1348" s="24"/>
      <c r="D1348" s="24"/>
      <c r="E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</row>
    <row r="1349" spans="1:23">
      <c r="A1349" s="26"/>
      <c r="B1349" s="24"/>
      <c r="C1349" s="24"/>
      <c r="D1349" s="24"/>
      <c r="E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</row>
    <row r="1350" spans="1:23">
      <c r="A1350" s="26"/>
      <c r="B1350" s="24"/>
      <c r="C1350" s="24"/>
      <c r="D1350" s="24"/>
      <c r="E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</row>
    <row r="1351" spans="1:23">
      <c r="A1351" s="26"/>
      <c r="B1351" s="24"/>
      <c r="C1351" s="24"/>
      <c r="D1351" s="24"/>
      <c r="E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</row>
    <row r="1352" spans="1:23">
      <c r="A1352" s="26"/>
      <c r="B1352" s="24"/>
      <c r="C1352" s="24"/>
      <c r="D1352" s="24"/>
      <c r="E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</row>
    <row r="1353" spans="1:23">
      <c r="A1353" s="26"/>
      <c r="B1353" s="24"/>
      <c r="C1353" s="24"/>
      <c r="D1353" s="24"/>
      <c r="E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</row>
    <row r="1354" spans="1:23">
      <c r="A1354" s="26"/>
      <c r="B1354" s="24"/>
      <c r="C1354" s="24"/>
      <c r="D1354" s="24"/>
      <c r="E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</row>
    <row r="1355" spans="1:23">
      <c r="A1355" s="26"/>
      <c r="B1355" s="24"/>
      <c r="C1355" s="24"/>
      <c r="D1355" s="24"/>
      <c r="E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</row>
    <row r="1356" spans="1:23">
      <c r="A1356" s="26"/>
      <c r="B1356" s="24"/>
      <c r="C1356" s="24"/>
      <c r="D1356" s="24"/>
      <c r="E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</row>
    <row r="1357" spans="1:23">
      <c r="A1357" s="26"/>
      <c r="B1357" s="24"/>
      <c r="C1357" s="24"/>
      <c r="D1357" s="24"/>
      <c r="E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</row>
    <row r="1358" spans="1:23">
      <c r="A1358" s="26"/>
      <c r="B1358" s="24"/>
      <c r="C1358" s="24"/>
      <c r="D1358" s="24"/>
      <c r="E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</row>
    <row r="1359" spans="1:23">
      <c r="A1359" s="26"/>
      <c r="B1359" s="24"/>
      <c r="C1359" s="24"/>
      <c r="D1359" s="24"/>
      <c r="E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</row>
    <row r="1360" spans="1:23">
      <c r="A1360" s="26"/>
      <c r="B1360" s="24"/>
      <c r="C1360" s="24"/>
      <c r="D1360" s="24"/>
      <c r="E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</row>
    <row r="1361" spans="1:23">
      <c r="A1361" s="26"/>
      <c r="B1361" s="24"/>
      <c r="C1361" s="24"/>
      <c r="D1361" s="24"/>
      <c r="E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</row>
    <row r="1362" spans="1:23">
      <c r="A1362" s="26"/>
      <c r="B1362" s="24"/>
      <c r="C1362" s="24"/>
      <c r="D1362" s="24"/>
      <c r="E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</row>
    <row r="1363" spans="1:23">
      <c r="A1363" s="26"/>
      <c r="B1363" s="24"/>
      <c r="C1363" s="24"/>
      <c r="D1363" s="24"/>
      <c r="E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</row>
    <row r="1364" spans="1:23">
      <c r="A1364" s="26"/>
      <c r="B1364" s="24"/>
      <c r="C1364" s="24"/>
      <c r="D1364" s="24"/>
      <c r="E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</row>
    <row r="1365" spans="1:23">
      <c r="A1365" s="26"/>
      <c r="B1365" s="24"/>
      <c r="C1365" s="24"/>
      <c r="D1365" s="24"/>
      <c r="E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</row>
    <row r="1366" spans="1:23">
      <c r="A1366" s="26"/>
      <c r="B1366" s="24"/>
      <c r="C1366" s="24"/>
      <c r="D1366" s="24"/>
      <c r="E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</row>
    <row r="1367" spans="1:23">
      <c r="A1367" s="26"/>
      <c r="B1367" s="24"/>
      <c r="C1367" s="24"/>
      <c r="D1367" s="24"/>
      <c r="E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</row>
    <row r="1368" spans="1:23">
      <c r="A1368" s="26"/>
      <c r="B1368" s="24"/>
      <c r="C1368" s="24"/>
      <c r="D1368" s="24"/>
      <c r="E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</row>
    <row r="1369" spans="1:23">
      <c r="A1369" s="26"/>
      <c r="B1369" s="24"/>
      <c r="C1369" s="24"/>
      <c r="D1369" s="24"/>
      <c r="E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</row>
    <row r="1370" spans="1:23">
      <c r="A1370" s="26"/>
      <c r="B1370" s="24"/>
      <c r="C1370" s="24"/>
      <c r="D1370" s="24"/>
      <c r="E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</row>
    <row r="1371" spans="1:23">
      <c r="A1371" s="26"/>
      <c r="B1371" s="24"/>
      <c r="C1371" s="24"/>
      <c r="D1371" s="24"/>
      <c r="E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</row>
    <row r="1372" spans="1:23">
      <c r="A1372" s="26"/>
      <c r="B1372" s="24"/>
      <c r="C1372" s="24"/>
      <c r="D1372" s="24"/>
      <c r="E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</row>
    <row r="1373" spans="1:23">
      <c r="A1373" s="26"/>
      <c r="B1373" s="24"/>
      <c r="C1373" s="24"/>
      <c r="D1373" s="24"/>
      <c r="E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</row>
    <row r="1374" spans="1:23">
      <c r="A1374" s="26"/>
      <c r="B1374" s="24"/>
      <c r="C1374" s="24"/>
      <c r="D1374" s="24"/>
      <c r="E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</row>
    <row r="1375" spans="1:23">
      <c r="A1375" s="26"/>
      <c r="B1375" s="24"/>
      <c r="C1375" s="24"/>
      <c r="D1375" s="24"/>
      <c r="E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</row>
    <row r="1376" spans="1:23">
      <c r="A1376" s="26"/>
      <c r="B1376" s="24"/>
      <c r="C1376" s="24"/>
      <c r="D1376" s="24"/>
      <c r="E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</row>
    <row r="1377" spans="1:23">
      <c r="A1377" s="26"/>
      <c r="B1377" s="24"/>
      <c r="C1377" s="24"/>
      <c r="D1377" s="24"/>
      <c r="E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</row>
    <row r="1378" spans="1:23">
      <c r="A1378" s="26"/>
      <c r="B1378" s="24"/>
      <c r="C1378" s="24"/>
      <c r="D1378" s="24"/>
      <c r="E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</row>
    <row r="1379" spans="1:23">
      <c r="A1379" s="26"/>
      <c r="B1379" s="24"/>
      <c r="C1379" s="24"/>
      <c r="D1379" s="24"/>
      <c r="E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</row>
    <row r="1380" spans="1:23">
      <c r="A1380" s="26"/>
      <c r="B1380" s="24"/>
      <c r="C1380" s="24"/>
      <c r="D1380" s="24"/>
      <c r="E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</row>
    <row r="1381" spans="1:23">
      <c r="A1381" s="26"/>
      <c r="B1381" s="24"/>
      <c r="C1381" s="24"/>
      <c r="D1381" s="24"/>
      <c r="E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</row>
    <row r="1382" spans="1:23">
      <c r="A1382" s="26"/>
      <c r="B1382" s="24"/>
      <c r="C1382" s="24"/>
      <c r="D1382" s="24"/>
      <c r="E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</row>
    <row r="1383" spans="1:23">
      <c r="A1383" s="26"/>
      <c r="B1383" s="24"/>
      <c r="C1383" s="24"/>
      <c r="D1383" s="24"/>
      <c r="E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</row>
    <row r="1384" spans="1:23">
      <c r="A1384" s="26"/>
      <c r="B1384" s="24"/>
      <c r="C1384" s="24"/>
      <c r="D1384" s="24"/>
      <c r="E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</row>
    <row r="1385" spans="1:23">
      <c r="A1385" s="26"/>
      <c r="B1385" s="24"/>
      <c r="C1385" s="24"/>
      <c r="D1385" s="24"/>
      <c r="E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</row>
    <row r="1386" spans="1:23">
      <c r="A1386" s="26"/>
      <c r="B1386" s="24"/>
      <c r="C1386" s="24"/>
      <c r="D1386" s="24"/>
      <c r="E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</row>
    <row r="1387" spans="1:23">
      <c r="A1387" s="26"/>
      <c r="B1387" s="24"/>
      <c r="C1387" s="24"/>
      <c r="D1387" s="24"/>
      <c r="E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</row>
    <row r="1388" spans="1:23">
      <c r="A1388" s="26"/>
      <c r="B1388" s="24"/>
      <c r="C1388" s="24"/>
      <c r="D1388" s="24"/>
      <c r="E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</row>
    <row r="1389" spans="1:23">
      <c r="A1389" s="26"/>
      <c r="B1389" s="24"/>
      <c r="C1389" s="24"/>
      <c r="D1389" s="24"/>
      <c r="E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</row>
    <row r="1390" spans="1:23">
      <c r="A1390" s="26"/>
      <c r="B1390" s="24"/>
      <c r="C1390" s="24"/>
      <c r="D1390" s="24"/>
      <c r="E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</row>
    <row r="1391" spans="1:23">
      <c r="A1391" s="26"/>
      <c r="B1391" s="24"/>
      <c r="C1391" s="24"/>
      <c r="D1391" s="24"/>
      <c r="E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</row>
    <row r="1392" spans="1:23">
      <c r="A1392" s="26"/>
      <c r="B1392" s="24"/>
      <c r="C1392" s="24"/>
      <c r="D1392" s="24"/>
      <c r="E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</row>
    <row r="1393" spans="1:23">
      <c r="A1393" s="26"/>
      <c r="B1393" s="24"/>
      <c r="C1393" s="24"/>
      <c r="D1393" s="24"/>
      <c r="E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</row>
    <row r="1394" spans="1:23">
      <c r="A1394" s="26"/>
      <c r="B1394" s="24"/>
      <c r="C1394" s="24"/>
      <c r="D1394" s="24"/>
      <c r="E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</row>
    <row r="1395" spans="1:23">
      <c r="A1395" s="26"/>
      <c r="B1395" s="24"/>
      <c r="C1395" s="24"/>
      <c r="D1395" s="24"/>
      <c r="E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</row>
    <row r="1396" spans="1:23">
      <c r="A1396" s="26"/>
      <c r="B1396" s="24"/>
      <c r="C1396" s="24"/>
      <c r="D1396" s="24"/>
      <c r="E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</row>
    <row r="1397" spans="1:23">
      <c r="A1397" s="26"/>
      <c r="B1397" s="24"/>
      <c r="C1397" s="24"/>
      <c r="D1397" s="24"/>
      <c r="E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</row>
    <row r="1398" spans="1:23">
      <c r="A1398" s="26"/>
      <c r="B1398" s="24"/>
      <c r="C1398" s="24"/>
      <c r="D1398" s="24"/>
      <c r="E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</row>
    <row r="1399" spans="1:23">
      <c r="A1399" s="26"/>
      <c r="B1399" s="24"/>
      <c r="C1399" s="24"/>
      <c r="D1399" s="24"/>
      <c r="E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</row>
    <row r="1400" spans="1:23">
      <c r="A1400" s="26"/>
      <c r="B1400" s="24"/>
      <c r="C1400" s="24"/>
      <c r="D1400" s="24"/>
      <c r="E1400" s="24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</row>
    <row r="1401" spans="1:23">
      <c r="A1401" s="26"/>
      <c r="B1401" s="24"/>
      <c r="C1401" s="24"/>
      <c r="D1401" s="24"/>
      <c r="E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</row>
    <row r="1402" spans="1:23">
      <c r="A1402" s="26"/>
      <c r="B1402" s="24"/>
      <c r="C1402" s="24"/>
      <c r="D1402" s="24"/>
      <c r="E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</row>
    <row r="1403" spans="1:23">
      <c r="A1403" s="26"/>
      <c r="B1403" s="24"/>
      <c r="C1403" s="24"/>
      <c r="D1403" s="24"/>
      <c r="E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</row>
    <row r="1404" spans="1:23">
      <c r="A1404" s="26"/>
      <c r="B1404" s="24"/>
      <c r="C1404" s="24"/>
      <c r="D1404" s="24"/>
      <c r="E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</row>
    <row r="1405" spans="1:23">
      <c r="A1405" s="26"/>
      <c r="B1405" s="24"/>
      <c r="C1405" s="24"/>
      <c r="D1405" s="24"/>
      <c r="E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</row>
    <row r="1406" spans="1:23">
      <c r="A1406" s="26"/>
      <c r="B1406" s="24"/>
      <c r="C1406" s="24"/>
      <c r="D1406" s="24"/>
      <c r="E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</row>
    <row r="1407" spans="1:23">
      <c r="A1407" s="26"/>
      <c r="B1407" s="24"/>
      <c r="C1407" s="24"/>
      <c r="D1407" s="24"/>
      <c r="E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</row>
    <row r="1408" spans="1:23">
      <c r="A1408" s="26"/>
      <c r="B1408" s="24"/>
      <c r="C1408" s="24"/>
      <c r="D1408" s="24"/>
      <c r="E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</row>
    <row r="1409" spans="1:23">
      <c r="A1409" s="26"/>
      <c r="B1409" s="24"/>
      <c r="C1409" s="24"/>
      <c r="D1409" s="24"/>
      <c r="E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</row>
    <row r="1410" spans="1:23">
      <c r="A1410" s="26"/>
      <c r="B1410" s="24"/>
      <c r="C1410" s="24"/>
      <c r="D1410" s="24"/>
      <c r="E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</row>
    <row r="1411" spans="1:23">
      <c r="A1411" s="26"/>
      <c r="B1411" s="24"/>
      <c r="C1411" s="24"/>
      <c r="D1411" s="24"/>
      <c r="E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</row>
    <row r="1412" spans="1:23">
      <c r="A1412" s="26"/>
      <c r="B1412" s="24"/>
      <c r="C1412" s="24"/>
      <c r="D1412" s="24"/>
      <c r="E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</row>
    <row r="1413" spans="1:23">
      <c r="A1413" s="26"/>
      <c r="B1413" s="24"/>
      <c r="C1413" s="24"/>
      <c r="D1413" s="24"/>
      <c r="E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</row>
    <row r="1414" spans="1:23">
      <c r="A1414" s="26"/>
      <c r="B1414" s="24"/>
      <c r="C1414" s="24"/>
      <c r="D1414" s="24"/>
      <c r="E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</row>
    <row r="1415" spans="1:23">
      <c r="A1415" s="26"/>
      <c r="B1415" s="24"/>
      <c r="C1415" s="24"/>
      <c r="D1415" s="24"/>
      <c r="E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</row>
    <row r="1416" spans="1:23">
      <c r="A1416" s="26"/>
      <c r="B1416" s="24"/>
      <c r="C1416" s="24"/>
      <c r="D1416" s="24"/>
      <c r="E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</row>
    <row r="1417" spans="1:23">
      <c r="A1417" s="26"/>
      <c r="B1417" s="24"/>
      <c r="C1417" s="24"/>
      <c r="D1417" s="24"/>
      <c r="E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</row>
    <row r="1418" spans="1:23">
      <c r="A1418" s="26"/>
      <c r="B1418" s="24"/>
      <c r="C1418" s="24"/>
      <c r="D1418" s="24"/>
      <c r="E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</row>
    <row r="1419" spans="1:23">
      <c r="A1419" s="26"/>
      <c r="B1419" s="24"/>
      <c r="C1419" s="24"/>
      <c r="D1419" s="24"/>
      <c r="E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</row>
    <row r="1420" spans="1:23">
      <c r="A1420" s="26"/>
      <c r="B1420" s="24"/>
      <c r="C1420" s="24"/>
      <c r="D1420" s="24"/>
      <c r="E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</row>
    <row r="1421" spans="1:23">
      <c r="A1421" s="26"/>
      <c r="B1421" s="24"/>
      <c r="C1421" s="24"/>
      <c r="D1421" s="24"/>
      <c r="E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</row>
    <row r="1422" spans="1:23">
      <c r="A1422" s="26"/>
      <c r="B1422" s="24"/>
      <c r="C1422" s="24"/>
      <c r="D1422" s="24"/>
      <c r="E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</row>
    <row r="1423" spans="1:23">
      <c r="A1423" s="26"/>
      <c r="B1423" s="24"/>
      <c r="C1423" s="24"/>
      <c r="D1423" s="24"/>
      <c r="E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</row>
    <row r="1424" spans="1:23">
      <c r="A1424" s="26"/>
      <c r="B1424" s="24"/>
      <c r="C1424" s="24"/>
      <c r="D1424" s="24"/>
      <c r="E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</row>
    <row r="1425" spans="1:23">
      <c r="A1425" s="26"/>
      <c r="B1425" s="24"/>
      <c r="C1425" s="24"/>
      <c r="D1425" s="24"/>
      <c r="E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</row>
    <row r="1426" spans="1:23">
      <c r="A1426" s="26"/>
      <c r="B1426" s="24"/>
      <c r="C1426" s="24"/>
      <c r="D1426" s="24"/>
      <c r="E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</row>
    <row r="1427" spans="1:23">
      <c r="A1427" s="26"/>
      <c r="B1427" s="24"/>
      <c r="C1427" s="24"/>
      <c r="D1427" s="24"/>
      <c r="E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</row>
    <row r="1428" spans="1:23">
      <c r="A1428" s="26"/>
      <c r="B1428" s="24"/>
      <c r="C1428" s="24"/>
      <c r="D1428" s="24"/>
      <c r="E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</row>
    <row r="1429" spans="1:23">
      <c r="A1429" s="26"/>
      <c r="B1429" s="24"/>
      <c r="C1429" s="24"/>
      <c r="D1429" s="24"/>
      <c r="E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</row>
    <row r="1430" spans="1:23">
      <c r="A1430" s="26"/>
      <c r="B1430" s="24"/>
      <c r="C1430" s="24"/>
      <c r="D1430" s="24"/>
      <c r="E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</row>
    <row r="1431" spans="1:23">
      <c r="A1431" s="26"/>
      <c r="B1431" s="24"/>
      <c r="C1431" s="24"/>
      <c r="D1431" s="24"/>
      <c r="E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</row>
    <row r="1432" spans="1:23">
      <c r="A1432" s="26"/>
      <c r="B1432" s="24"/>
      <c r="C1432" s="24"/>
      <c r="D1432" s="24"/>
      <c r="E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</row>
    <row r="1433" spans="1:23">
      <c r="A1433" s="26"/>
      <c r="B1433" s="24"/>
      <c r="C1433" s="24"/>
      <c r="D1433" s="24"/>
      <c r="E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</row>
    <row r="1434" spans="1:23">
      <c r="A1434" s="26"/>
      <c r="B1434" s="24"/>
      <c r="C1434" s="24"/>
      <c r="D1434" s="24"/>
      <c r="E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</row>
    <row r="1435" spans="1:23">
      <c r="A1435" s="26"/>
      <c r="B1435" s="24"/>
      <c r="C1435" s="24"/>
      <c r="D1435" s="24"/>
      <c r="E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</row>
    <row r="1436" spans="1:23">
      <c r="A1436" s="26"/>
      <c r="B1436" s="24"/>
      <c r="C1436" s="24"/>
      <c r="D1436" s="24"/>
      <c r="E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</row>
    <row r="1437" spans="1:23">
      <c r="A1437" s="26"/>
      <c r="B1437" s="24"/>
      <c r="C1437" s="24"/>
      <c r="D1437" s="24"/>
      <c r="E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</row>
    <row r="1438" spans="1:23">
      <c r="A1438" s="26"/>
      <c r="B1438" s="24"/>
      <c r="C1438" s="24"/>
      <c r="D1438" s="24"/>
      <c r="E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</row>
    <row r="1439" spans="1:23">
      <c r="A1439" s="26"/>
      <c r="B1439" s="24"/>
      <c r="C1439" s="24"/>
      <c r="D1439" s="24"/>
      <c r="E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</row>
    <row r="1440" spans="1:23">
      <c r="A1440" s="26"/>
      <c r="B1440" s="24"/>
      <c r="C1440" s="24"/>
      <c r="D1440" s="24"/>
      <c r="E1440" s="24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</row>
    <row r="1441" spans="1:23">
      <c r="A1441" s="26"/>
      <c r="B1441" s="24"/>
      <c r="C1441" s="24"/>
      <c r="D1441" s="24"/>
      <c r="E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</row>
    <row r="1442" spans="1:23">
      <c r="A1442" s="26"/>
      <c r="B1442" s="24"/>
      <c r="C1442" s="24"/>
      <c r="D1442" s="24"/>
      <c r="E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</row>
    <row r="1443" spans="1:23">
      <c r="A1443" s="26"/>
      <c r="B1443" s="24"/>
      <c r="C1443" s="24"/>
      <c r="D1443" s="24"/>
      <c r="E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</row>
    <row r="1444" spans="1:23">
      <c r="A1444" s="26"/>
      <c r="B1444" s="24"/>
      <c r="C1444" s="24"/>
      <c r="D1444" s="24"/>
      <c r="E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</row>
    <row r="1445" spans="1:23">
      <c r="A1445" s="26"/>
      <c r="B1445" s="24"/>
      <c r="C1445" s="24"/>
      <c r="D1445" s="24"/>
      <c r="E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</row>
    <row r="1446" spans="1:23">
      <c r="A1446" s="26"/>
      <c r="B1446" s="24"/>
      <c r="C1446" s="24"/>
      <c r="D1446" s="24"/>
      <c r="E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</row>
    <row r="1447" spans="1:23">
      <c r="A1447" s="26"/>
      <c r="B1447" s="24"/>
      <c r="C1447" s="24"/>
      <c r="D1447" s="24"/>
      <c r="E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</row>
    <row r="1448" spans="1:23">
      <c r="A1448" s="26"/>
      <c r="B1448" s="24"/>
      <c r="C1448" s="24"/>
      <c r="D1448" s="24"/>
      <c r="E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</row>
    <row r="1449" spans="1:23">
      <c r="A1449" s="26"/>
      <c r="B1449" s="24"/>
      <c r="C1449" s="24"/>
      <c r="D1449" s="24"/>
      <c r="E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</row>
    <row r="1450" spans="1:23">
      <c r="A1450" s="26"/>
      <c r="B1450" s="24"/>
      <c r="C1450" s="24"/>
      <c r="D1450" s="24"/>
      <c r="E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</row>
    <row r="1451" spans="1:23">
      <c r="A1451" s="26"/>
      <c r="B1451" s="24"/>
      <c r="C1451" s="24"/>
      <c r="D1451" s="24"/>
      <c r="E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</row>
    <row r="1452" spans="1:23">
      <c r="A1452" s="26"/>
      <c r="B1452" s="24"/>
      <c r="C1452" s="24"/>
      <c r="D1452" s="24"/>
      <c r="E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</row>
    <row r="1453" spans="1:23">
      <c r="A1453" s="26"/>
      <c r="B1453" s="24"/>
      <c r="C1453" s="24"/>
      <c r="D1453" s="24"/>
      <c r="E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</row>
    <row r="1454" spans="1:23">
      <c r="A1454" s="26"/>
      <c r="B1454" s="24"/>
      <c r="C1454" s="24"/>
      <c r="D1454" s="24"/>
      <c r="E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</row>
    <row r="1455" spans="1:23">
      <c r="A1455" s="26"/>
      <c r="B1455" s="24"/>
      <c r="C1455" s="24"/>
      <c r="D1455" s="24"/>
      <c r="E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</row>
    <row r="1456" spans="1:23">
      <c r="A1456" s="26"/>
      <c r="B1456" s="24"/>
      <c r="C1456" s="24"/>
      <c r="D1456" s="24"/>
      <c r="E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</row>
    <row r="1457" spans="1:23">
      <c r="A1457" s="26"/>
      <c r="B1457" s="24"/>
      <c r="C1457" s="24"/>
      <c r="D1457" s="24"/>
      <c r="E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</row>
    <row r="1458" spans="1:23">
      <c r="A1458" s="26"/>
      <c r="B1458" s="24"/>
      <c r="C1458" s="24"/>
      <c r="D1458" s="24"/>
      <c r="E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</row>
    <row r="1459" spans="1:23">
      <c r="A1459" s="26"/>
      <c r="B1459" s="24"/>
      <c r="C1459" s="24"/>
      <c r="D1459" s="24"/>
      <c r="E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</row>
    <row r="1460" spans="1:23">
      <c r="A1460" s="26"/>
      <c r="B1460" s="24"/>
      <c r="C1460" s="24"/>
      <c r="D1460" s="24"/>
      <c r="E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</row>
    <row r="1461" spans="1:23">
      <c r="A1461" s="26"/>
      <c r="B1461" s="24"/>
      <c r="C1461" s="24"/>
      <c r="D1461" s="24"/>
      <c r="E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</row>
    <row r="1462" spans="1:23">
      <c r="A1462" s="26"/>
      <c r="B1462" s="24"/>
      <c r="C1462" s="24"/>
      <c r="D1462" s="24"/>
      <c r="E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</row>
    <row r="1463" spans="1:23">
      <c r="A1463" s="26"/>
      <c r="B1463" s="24"/>
      <c r="C1463" s="24"/>
      <c r="D1463" s="24"/>
      <c r="E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</row>
    <row r="1464" spans="1:23">
      <c r="A1464" s="26"/>
      <c r="B1464" s="24"/>
      <c r="C1464" s="24"/>
      <c r="D1464" s="24"/>
      <c r="E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</row>
    <row r="1465" spans="1:23">
      <c r="A1465" s="26"/>
      <c r="B1465" s="24"/>
      <c r="C1465" s="24"/>
      <c r="D1465" s="24"/>
      <c r="E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</row>
    <row r="1466" spans="1:23">
      <c r="A1466" s="26"/>
      <c r="B1466" s="24"/>
      <c r="C1466" s="24"/>
      <c r="D1466" s="24"/>
      <c r="E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</row>
    <row r="1467" spans="1:23">
      <c r="A1467" s="26"/>
      <c r="B1467" s="24"/>
      <c r="C1467" s="24"/>
      <c r="D1467" s="24"/>
      <c r="E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</row>
    <row r="1468" spans="1:23">
      <c r="A1468" s="26"/>
      <c r="B1468" s="24"/>
      <c r="C1468" s="24"/>
      <c r="D1468" s="24"/>
      <c r="E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</row>
    <row r="1469" spans="1:23">
      <c r="A1469" s="26"/>
      <c r="B1469" s="24"/>
      <c r="C1469" s="24"/>
      <c r="D1469" s="24"/>
      <c r="E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</row>
    <row r="1470" spans="1:23">
      <c r="A1470" s="26"/>
      <c r="B1470" s="24"/>
      <c r="C1470" s="24"/>
      <c r="D1470" s="24"/>
      <c r="E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</row>
    <row r="1471" spans="1:23">
      <c r="A1471" s="26"/>
      <c r="B1471" s="24"/>
      <c r="C1471" s="24"/>
      <c r="D1471" s="24"/>
      <c r="E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</row>
    <row r="1472" spans="1:23">
      <c r="A1472" s="26"/>
      <c r="B1472" s="24"/>
      <c r="C1472" s="24"/>
      <c r="D1472" s="24"/>
      <c r="E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</row>
    <row r="1473" spans="1:23">
      <c r="A1473" s="26"/>
      <c r="B1473" s="24"/>
      <c r="C1473" s="24"/>
      <c r="D1473" s="24"/>
      <c r="E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</row>
    <row r="1474" spans="1:23">
      <c r="A1474" s="26"/>
      <c r="B1474" s="24"/>
      <c r="C1474" s="24"/>
      <c r="D1474" s="24"/>
      <c r="E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</row>
    <row r="1475" spans="1:23">
      <c r="A1475" s="26"/>
      <c r="B1475" s="24"/>
      <c r="C1475" s="24"/>
      <c r="D1475" s="24"/>
      <c r="E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</row>
    <row r="1476" spans="1:23">
      <c r="A1476" s="26"/>
      <c r="B1476" s="24"/>
      <c r="C1476" s="24"/>
      <c r="D1476" s="24"/>
      <c r="E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</row>
    <row r="1477" spans="1:23">
      <c r="A1477" s="26"/>
      <c r="B1477" s="24"/>
      <c r="C1477" s="24"/>
      <c r="D1477" s="24"/>
      <c r="E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</row>
    <row r="1478" spans="1:23">
      <c r="A1478" s="26"/>
      <c r="B1478" s="24"/>
      <c r="C1478" s="24"/>
      <c r="D1478" s="24"/>
      <c r="E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</row>
    <row r="1479" spans="1:23">
      <c r="A1479" s="26"/>
      <c r="B1479" s="24"/>
      <c r="C1479" s="24"/>
      <c r="D1479" s="24"/>
      <c r="E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</row>
    <row r="1480" spans="1:23">
      <c r="A1480" s="26"/>
      <c r="B1480" s="24"/>
      <c r="C1480" s="24"/>
      <c r="D1480" s="24"/>
      <c r="E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</row>
    <row r="1481" spans="1:23">
      <c r="A1481" s="26"/>
      <c r="B1481" s="24"/>
      <c r="C1481" s="24"/>
      <c r="D1481" s="24"/>
      <c r="E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</row>
    <row r="1482" spans="1:23">
      <c r="A1482" s="26"/>
      <c r="B1482" s="24"/>
      <c r="C1482" s="24"/>
      <c r="D1482" s="24"/>
      <c r="E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</row>
    <row r="1483" spans="1:23">
      <c r="A1483" s="26"/>
      <c r="B1483" s="24"/>
      <c r="C1483" s="24"/>
      <c r="D1483" s="24"/>
      <c r="E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</row>
    <row r="1484" spans="1:23">
      <c r="A1484" s="26"/>
      <c r="B1484" s="24"/>
      <c r="C1484" s="24"/>
      <c r="D1484" s="24"/>
      <c r="E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</row>
    <row r="1485" spans="1:23">
      <c r="A1485" s="26"/>
      <c r="B1485" s="24"/>
      <c r="C1485" s="24"/>
      <c r="D1485" s="24"/>
      <c r="E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</row>
    <row r="1486" spans="1:23">
      <c r="A1486" s="26"/>
      <c r="B1486" s="24"/>
      <c r="C1486" s="24"/>
      <c r="D1486" s="24"/>
      <c r="E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</row>
    <row r="1487" spans="1:23">
      <c r="A1487" s="26"/>
      <c r="B1487" s="24"/>
      <c r="C1487" s="24"/>
      <c r="D1487" s="24"/>
      <c r="E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</row>
    <row r="1488" spans="1:23">
      <c r="A1488" s="26"/>
      <c r="B1488" s="24"/>
      <c r="C1488" s="24"/>
      <c r="D1488" s="24"/>
      <c r="E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</row>
    <row r="1489" spans="1:23">
      <c r="A1489" s="26"/>
      <c r="B1489" s="24"/>
      <c r="C1489" s="24"/>
      <c r="D1489" s="24"/>
      <c r="E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</row>
    <row r="1490" spans="1:23">
      <c r="A1490" s="26"/>
      <c r="B1490" s="24"/>
      <c r="C1490" s="24"/>
      <c r="D1490" s="24"/>
      <c r="E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</row>
    <row r="1491" spans="1:23">
      <c r="A1491" s="26"/>
      <c r="B1491" s="24"/>
      <c r="C1491" s="24"/>
      <c r="D1491" s="24"/>
      <c r="E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</row>
    <row r="1492" spans="1:23">
      <c r="A1492" s="26"/>
      <c r="B1492" s="24"/>
      <c r="C1492" s="24"/>
      <c r="D1492" s="24"/>
      <c r="E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</row>
    <row r="1493" spans="1:23">
      <c r="A1493" s="26"/>
      <c r="B1493" s="24"/>
      <c r="C1493" s="24"/>
      <c r="D1493" s="24"/>
      <c r="E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</row>
    <row r="1494" spans="1:23">
      <c r="A1494" s="26"/>
      <c r="B1494" s="24"/>
      <c r="C1494" s="24"/>
      <c r="D1494" s="24"/>
      <c r="E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</row>
    <row r="1495" spans="1:23">
      <c r="A1495" s="26"/>
      <c r="B1495" s="24"/>
      <c r="C1495" s="24"/>
      <c r="D1495" s="24"/>
      <c r="E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</row>
    <row r="1496" spans="1:23">
      <c r="A1496" s="26"/>
      <c r="B1496" s="24"/>
      <c r="C1496" s="24"/>
      <c r="D1496" s="24"/>
      <c r="E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</row>
    <row r="1497" spans="1:23">
      <c r="A1497" s="26"/>
      <c r="B1497" s="24"/>
      <c r="C1497" s="24"/>
      <c r="D1497" s="24"/>
      <c r="E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</row>
    <row r="1498" spans="1:23">
      <c r="A1498" s="26"/>
      <c r="B1498" s="24"/>
      <c r="C1498" s="24"/>
      <c r="D1498" s="24"/>
      <c r="E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</row>
    <row r="1499" spans="1:23">
      <c r="A1499" s="26"/>
      <c r="B1499" s="24"/>
      <c r="C1499" s="24"/>
      <c r="D1499" s="24"/>
      <c r="E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</row>
    <row r="1500" spans="1:23">
      <c r="A1500" s="26"/>
      <c r="B1500" s="24"/>
      <c r="C1500" s="24"/>
      <c r="D1500" s="24"/>
      <c r="E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</row>
    <row r="1501" spans="1:23">
      <c r="A1501" s="26"/>
      <c r="B1501" s="24"/>
      <c r="C1501" s="24"/>
      <c r="D1501" s="24"/>
      <c r="E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</row>
    <row r="1502" spans="1:23">
      <c r="A1502" s="26"/>
      <c r="B1502" s="24"/>
      <c r="C1502" s="24"/>
      <c r="D1502" s="24"/>
      <c r="E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</row>
    <row r="1503" spans="1:23">
      <c r="A1503" s="26"/>
      <c r="B1503" s="24"/>
      <c r="C1503" s="24"/>
      <c r="D1503" s="24"/>
      <c r="E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</row>
    <row r="1504" spans="1:23">
      <c r="A1504" s="26"/>
      <c r="B1504" s="24"/>
      <c r="C1504" s="24"/>
      <c r="D1504" s="24"/>
      <c r="E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</row>
    <row r="1505" spans="1:23">
      <c r="A1505" s="26"/>
      <c r="B1505" s="24"/>
      <c r="C1505" s="24"/>
      <c r="D1505" s="24"/>
      <c r="E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</row>
    <row r="1506" spans="1:23">
      <c r="A1506" s="26"/>
      <c r="B1506" s="24"/>
      <c r="C1506" s="24"/>
      <c r="D1506" s="24"/>
      <c r="E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</row>
    <row r="1507" spans="1:23">
      <c r="A1507" s="26"/>
      <c r="B1507" s="24"/>
      <c r="C1507" s="24"/>
      <c r="D1507" s="24"/>
      <c r="E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</row>
    <row r="1508" spans="1:23">
      <c r="A1508" s="26"/>
      <c r="B1508" s="24"/>
      <c r="C1508" s="24"/>
      <c r="D1508" s="24"/>
      <c r="E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</row>
    <row r="1509" spans="1:23">
      <c r="A1509" s="26"/>
      <c r="B1509" s="24"/>
      <c r="C1509" s="24"/>
      <c r="D1509" s="24"/>
      <c r="E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</row>
    <row r="1510" spans="1:23">
      <c r="A1510" s="26"/>
      <c r="B1510" s="24"/>
      <c r="C1510" s="24"/>
      <c r="D1510" s="24"/>
      <c r="E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</row>
    <row r="1511" spans="1:23">
      <c r="A1511" s="26"/>
      <c r="B1511" s="24"/>
      <c r="C1511" s="24"/>
      <c r="D1511" s="24"/>
      <c r="E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</row>
    <row r="1512" spans="1:23">
      <c r="A1512" s="26"/>
      <c r="B1512" s="24"/>
      <c r="C1512" s="24"/>
      <c r="D1512" s="24"/>
      <c r="E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</row>
    <row r="1513" spans="1:23">
      <c r="A1513" s="26"/>
      <c r="B1513" s="24"/>
      <c r="C1513" s="24"/>
      <c r="D1513" s="24"/>
      <c r="E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</row>
    <row r="1514" spans="1:23">
      <c r="A1514" s="26"/>
      <c r="B1514" s="24"/>
      <c r="C1514" s="24"/>
      <c r="D1514" s="24"/>
      <c r="E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</row>
    <row r="1515" spans="1:23">
      <c r="A1515" s="26"/>
      <c r="B1515" s="24"/>
      <c r="C1515" s="24"/>
      <c r="D1515" s="24"/>
      <c r="E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</row>
    <row r="1516" spans="1:23">
      <c r="A1516" s="26"/>
      <c r="B1516" s="24"/>
      <c r="C1516" s="24"/>
      <c r="D1516" s="24"/>
      <c r="E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</row>
    <row r="1517" spans="1:23">
      <c r="A1517" s="26"/>
      <c r="B1517" s="24"/>
      <c r="C1517" s="24"/>
      <c r="D1517" s="24"/>
      <c r="E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</row>
    <row r="1518" spans="1:23">
      <c r="A1518" s="26"/>
      <c r="B1518" s="24"/>
      <c r="C1518" s="24"/>
      <c r="D1518" s="24"/>
      <c r="E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</row>
    <row r="1519" spans="1:23">
      <c r="A1519" s="26"/>
      <c r="B1519" s="24"/>
      <c r="C1519" s="24"/>
      <c r="D1519" s="24"/>
      <c r="E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</row>
    <row r="1520" spans="1:23">
      <c r="A1520" s="26"/>
      <c r="B1520" s="24"/>
      <c r="C1520" s="24"/>
      <c r="D1520" s="24"/>
      <c r="E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</row>
    <row r="1521" spans="1:23">
      <c r="A1521" s="26"/>
      <c r="B1521" s="24"/>
      <c r="C1521" s="24"/>
      <c r="D1521" s="24"/>
      <c r="E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</row>
    <row r="1522" spans="1:23">
      <c r="A1522" s="26"/>
      <c r="B1522" s="24"/>
      <c r="C1522" s="24"/>
      <c r="D1522" s="24"/>
      <c r="E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</row>
    <row r="1523" spans="1:23">
      <c r="A1523" s="26"/>
      <c r="B1523" s="24"/>
      <c r="C1523" s="24"/>
      <c r="D1523" s="24"/>
      <c r="E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</row>
    <row r="1524" spans="1:23">
      <c r="A1524" s="26"/>
      <c r="B1524" s="24"/>
      <c r="C1524" s="24"/>
      <c r="D1524" s="24"/>
      <c r="E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</row>
    <row r="1525" spans="1:23">
      <c r="A1525" s="26"/>
      <c r="B1525" s="24"/>
      <c r="C1525" s="24"/>
      <c r="D1525" s="24"/>
      <c r="E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</row>
    <row r="1526" spans="1:23">
      <c r="A1526" s="26"/>
      <c r="B1526" s="24"/>
      <c r="C1526" s="24"/>
      <c r="D1526" s="24"/>
      <c r="E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</row>
    <row r="1527" spans="1:23">
      <c r="A1527" s="26"/>
      <c r="B1527" s="24"/>
      <c r="C1527" s="24"/>
      <c r="D1527" s="24"/>
      <c r="E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</row>
    <row r="1528" spans="1:23">
      <c r="A1528" s="26"/>
      <c r="B1528" s="24"/>
      <c r="C1528" s="24"/>
      <c r="D1528" s="24"/>
      <c r="E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</row>
    <row r="1529" spans="1:23">
      <c r="A1529" s="26"/>
      <c r="B1529" s="24"/>
      <c r="C1529" s="24"/>
      <c r="D1529" s="24"/>
      <c r="E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</row>
    <row r="1530" spans="1:23">
      <c r="A1530" s="26"/>
      <c r="B1530" s="24"/>
      <c r="C1530" s="24"/>
      <c r="D1530" s="24"/>
      <c r="E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</row>
    <row r="1531" spans="1:23">
      <c r="A1531" s="26"/>
      <c r="B1531" s="24"/>
      <c r="C1531" s="24"/>
      <c r="D1531" s="24"/>
      <c r="E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</row>
    <row r="1532" spans="1:23">
      <c r="A1532" s="26"/>
      <c r="B1532" s="24"/>
      <c r="C1532" s="24"/>
      <c r="D1532" s="24"/>
      <c r="E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</row>
    <row r="1533" spans="1:23">
      <c r="A1533" s="26"/>
      <c r="B1533" s="24"/>
      <c r="C1533" s="24"/>
      <c r="D1533" s="24"/>
      <c r="E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</row>
    <row r="1534" spans="1:23">
      <c r="A1534" s="26"/>
      <c r="B1534" s="24"/>
      <c r="C1534" s="24"/>
      <c r="D1534" s="24"/>
      <c r="E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</row>
    <row r="1535" spans="1:23">
      <c r="A1535" s="26"/>
      <c r="B1535" s="24"/>
      <c r="C1535" s="24"/>
      <c r="D1535" s="24"/>
      <c r="E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</row>
    <row r="1536" spans="1:23">
      <c r="A1536" s="26"/>
      <c r="B1536" s="24"/>
      <c r="C1536" s="24"/>
      <c r="D1536" s="24"/>
      <c r="E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</row>
    <row r="1537" spans="1:23">
      <c r="A1537" s="26"/>
      <c r="B1537" s="24"/>
      <c r="C1537" s="24"/>
      <c r="D1537" s="24"/>
      <c r="E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</row>
    <row r="1538" spans="1:23">
      <c r="A1538" s="26"/>
      <c r="B1538" s="24"/>
      <c r="C1538" s="24"/>
      <c r="D1538" s="24"/>
      <c r="E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</row>
    <row r="1539" spans="1:23">
      <c r="A1539" s="26"/>
      <c r="B1539" s="24"/>
      <c r="C1539" s="24"/>
      <c r="D1539" s="24"/>
      <c r="E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</row>
    <row r="1540" spans="1:23">
      <c r="A1540" s="26"/>
      <c r="B1540" s="24"/>
      <c r="C1540" s="24"/>
      <c r="D1540" s="24"/>
      <c r="E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</row>
    <row r="1541" spans="1:23">
      <c r="A1541" s="26"/>
      <c r="B1541" s="24"/>
      <c r="C1541" s="24"/>
      <c r="D1541" s="24"/>
      <c r="E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</row>
    <row r="1542" spans="1:23">
      <c r="A1542" s="26"/>
      <c r="B1542" s="24"/>
      <c r="C1542" s="24"/>
      <c r="D1542" s="24"/>
      <c r="E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</row>
    <row r="1543" spans="1:23">
      <c r="A1543" s="26"/>
      <c r="B1543" s="24"/>
      <c r="C1543" s="24"/>
      <c r="D1543" s="24"/>
      <c r="E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</row>
    <row r="1544" spans="1:23">
      <c r="A1544" s="26"/>
      <c r="B1544" s="24"/>
      <c r="C1544" s="24"/>
      <c r="D1544" s="24"/>
      <c r="E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</row>
    <row r="1545" spans="1:23">
      <c r="A1545" s="26"/>
      <c r="B1545" s="24"/>
      <c r="C1545" s="24"/>
      <c r="D1545" s="24"/>
      <c r="E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</row>
    <row r="1546" spans="1:23">
      <c r="A1546" s="26"/>
      <c r="B1546" s="24"/>
      <c r="C1546" s="24"/>
      <c r="D1546" s="24"/>
      <c r="E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</row>
    <row r="1547" spans="1:23">
      <c r="A1547" s="26"/>
      <c r="B1547" s="24"/>
      <c r="C1547" s="24"/>
      <c r="D1547" s="24"/>
      <c r="E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</row>
    <row r="1548" spans="1:23">
      <c r="A1548" s="26"/>
      <c r="B1548" s="24"/>
      <c r="C1548" s="24"/>
      <c r="D1548" s="24"/>
      <c r="E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</row>
    <row r="1549" spans="1:23">
      <c r="A1549" s="26"/>
      <c r="B1549" s="24"/>
      <c r="C1549" s="24"/>
      <c r="D1549" s="24"/>
      <c r="E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</row>
    <row r="1550" spans="1:23">
      <c r="A1550" s="26"/>
      <c r="B1550" s="24"/>
      <c r="C1550" s="24"/>
      <c r="D1550" s="24"/>
      <c r="E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</row>
    <row r="1551" spans="1:23">
      <c r="A1551" s="26"/>
      <c r="B1551" s="24"/>
      <c r="C1551" s="24"/>
      <c r="D1551" s="24"/>
      <c r="E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</row>
    <row r="1552" spans="1:23">
      <c r="A1552" s="26"/>
      <c r="B1552" s="24"/>
      <c r="C1552" s="24"/>
      <c r="D1552" s="24"/>
      <c r="E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</row>
    <row r="1553" spans="1:23">
      <c r="A1553" s="26"/>
      <c r="B1553" s="24"/>
      <c r="C1553" s="24"/>
      <c r="D1553" s="24"/>
      <c r="E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</row>
    <row r="1554" spans="1:23">
      <c r="A1554" s="26"/>
      <c r="B1554" s="24"/>
      <c r="C1554" s="24"/>
      <c r="D1554" s="24"/>
      <c r="E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</row>
    <row r="1555" spans="1:23">
      <c r="A1555" s="26"/>
      <c r="B1555" s="24"/>
      <c r="C1555" s="24"/>
      <c r="D1555" s="24"/>
      <c r="E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</row>
    <row r="1556" spans="1:23">
      <c r="A1556" s="26"/>
      <c r="B1556" s="24"/>
      <c r="C1556" s="24"/>
      <c r="D1556" s="24"/>
      <c r="E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</row>
    <row r="1557" spans="1:23">
      <c r="A1557" s="26"/>
      <c r="B1557" s="24"/>
      <c r="C1557" s="24"/>
      <c r="D1557" s="24"/>
      <c r="E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</row>
    <row r="1558" spans="1:23">
      <c r="A1558" s="26"/>
      <c r="B1558" s="24"/>
      <c r="C1558" s="24"/>
      <c r="D1558" s="24"/>
      <c r="E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</row>
    <row r="1559" spans="1:23">
      <c r="A1559" s="26"/>
      <c r="B1559" s="24"/>
      <c r="C1559" s="24"/>
      <c r="D1559" s="24"/>
      <c r="E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</row>
    <row r="1560" spans="1:23">
      <c r="A1560" s="26"/>
      <c r="B1560" s="24"/>
      <c r="C1560" s="24"/>
      <c r="D1560" s="24"/>
      <c r="E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</row>
    <row r="1561" spans="1:23">
      <c r="A1561" s="26"/>
      <c r="B1561" s="24"/>
      <c r="C1561" s="24"/>
      <c r="D1561" s="24"/>
      <c r="E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</row>
    <row r="1562" spans="1:23">
      <c r="A1562" s="26"/>
      <c r="B1562" s="24"/>
      <c r="C1562" s="24"/>
      <c r="D1562" s="24"/>
      <c r="E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</row>
    <row r="1563" spans="1:23">
      <c r="A1563" s="26"/>
      <c r="B1563" s="24"/>
      <c r="C1563" s="24"/>
      <c r="D1563" s="24"/>
      <c r="E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</row>
    <row r="1564" spans="1:23">
      <c r="A1564" s="26"/>
      <c r="B1564" s="24"/>
      <c r="C1564" s="24"/>
      <c r="D1564" s="24"/>
      <c r="E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</row>
    <row r="1565" spans="1:23">
      <c r="A1565" s="26"/>
      <c r="B1565" s="24"/>
      <c r="C1565" s="24"/>
      <c r="D1565" s="24"/>
      <c r="E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</row>
    <row r="1566" spans="1:23">
      <c r="A1566" s="26"/>
      <c r="B1566" s="24"/>
      <c r="C1566" s="24"/>
      <c r="D1566" s="24"/>
      <c r="E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</row>
    <row r="1567" spans="1:23">
      <c r="A1567" s="26"/>
      <c r="B1567" s="24"/>
      <c r="C1567" s="24"/>
      <c r="D1567" s="24"/>
      <c r="E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</row>
    <row r="1568" spans="1:23">
      <c r="A1568" s="26"/>
      <c r="B1568" s="24"/>
      <c r="C1568" s="24"/>
      <c r="D1568" s="24"/>
      <c r="E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</row>
    <row r="1569" spans="1:23">
      <c r="A1569" s="26"/>
      <c r="B1569" s="24"/>
      <c r="C1569" s="24"/>
      <c r="D1569" s="24"/>
      <c r="E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</row>
    <row r="1570" spans="1:23">
      <c r="A1570" s="26"/>
      <c r="B1570" s="24"/>
      <c r="C1570" s="24"/>
      <c r="D1570" s="24"/>
      <c r="E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</row>
    <row r="1571" spans="1:23">
      <c r="A1571" s="26"/>
      <c r="B1571" s="24"/>
      <c r="C1571" s="24"/>
      <c r="D1571" s="24"/>
      <c r="E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</row>
    <row r="1572" spans="1:23">
      <c r="A1572" s="26"/>
      <c r="B1572" s="24"/>
      <c r="C1572" s="24"/>
      <c r="D1572" s="24"/>
      <c r="E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</row>
    <row r="1573" spans="1:23">
      <c r="A1573" s="26"/>
      <c r="B1573" s="24"/>
      <c r="C1573" s="24"/>
      <c r="D1573" s="24"/>
      <c r="E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</row>
    <row r="1574" spans="1:23">
      <c r="A1574" s="26"/>
      <c r="B1574" s="24"/>
      <c r="C1574" s="24"/>
      <c r="D1574" s="24"/>
      <c r="E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</row>
    <row r="1575" spans="1:23">
      <c r="A1575" s="26"/>
      <c r="B1575" s="24"/>
      <c r="C1575" s="24"/>
      <c r="D1575" s="24"/>
      <c r="E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</row>
    <row r="1576" spans="1:23">
      <c r="A1576" s="26"/>
      <c r="B1576" s="24"/>
      <c r="C1576" s="24"/>
      <c r="D1576" s="24"/>
      <c r="E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</row>
    <row r="1577" spans="1:23">
      <c r="A1577" s="26"/>
      <c r="B1577" s="24"/>
      <c r="C1577" s="24"/>
      <c r="D1577" s="24"/>
      <c r="E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</row>
    <row r="1578" spans="1:23">
      <c r="A1578" s="26"/>
      <c r="B1578" s="24"/>
      <c r="C1578" s="24"/>
      <c r="D1578" s="24"/>
      <c r="E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</row>
    <row r="1579" spans="1:23">
      <c r="A1579" s="26"/>
      <c r="B1579" s="24"/>
      <c r="C1579" s="24"/>
      <c r="D1579" s="24"/>
      <c r="E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</row>
    <row r="1580" spans="1:23">
      <c r="A1580" s="26"/>
      <c r="B1580" s="24"/>
      <c r="C1580" s="24"/>
      <c r="D1580" s="24"/>
      <c r="E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</row>
    <row r="1581" spans="1:23">
      <c r="A1581" s="26"/>
      <c r="B1581" s="24"/>
      <c r="C1581" s="24"/>
      <c r="D1581" s="24"/>
      <c r="E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</row>
    <row r="1582" spans="1:23">
      <c r="A1582" s="26"/>
      <c r="B1582" s="24"/>
      <c r="C1582" s="24"/>
      <c r="D1582" s="24"/>
      <c r="E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</row>
    <row r="1583" spans="1:23">
      <c r="A1583" s="26"/>
      <c r="B1583" s="24"/>
      <c r="C1583" s="24"/>
      <c r="D1583" s="24"/>
      <c r="E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</row>
    <row r="1584" spans="1:23">
      <c r="A1584" s="26"/>
      <c r="B1584" s="24"/>
      <c r="C1584" s="24"/>
      <c r="D1584" s="24"/>
      <c r="E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</row>
    <row r="1585" spans="1:23">
      <c r="A1585" s="26"/>
      <c r="B1585" s="24"/>
      <c r="C1585" s="24"/>
      <c r="D1585" s="24"/>
      <c r="E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</row>
    <row r="1586" spans="1:23">
      <c r="A1586" s="26"/>
      <c r="B1586" s="24"/>
      <c r="C1586" s="24"/>
      <c r="D1586" s="24"/>
      <c r="E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</row>
    <row r="1587" spans="1:23">
      <c r="A1587" s="26"/>
      <c r="B1587" s="24"/>
      <c r="C1587" s="24"/>
      <c r="D1587" s="24"/>
      <c r="E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</row>
    <row r="1588" spans="1:23">
      <c r="A1588" s="26"/>
      <c r="B1588" s="24"/>
      <c r="C1588" s="24"/>
      <c r="D1588" s="24"/>
      <c r="E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</row>
    <row r="1589" spans="1:23">
      <c r="A1589" s="26"/>
      <c r="B1589" s="24"/>
      <c r="C1589" s="24"/>
      <c r="D1589" s="24"/>
      <c r="E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</row>
    <row r="1590" spans="1:23">
      <c r="A1590" s="26"/>
      <c r="B1590" s="24"/>
      <c r="C1590" s="24"/>
      <c r="D1590" s="24"/>
      <c r="E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</row>
    <row r="1591" spans="1:23">
      <c r="A1591" s="26"/>
      <c r="B1591" s="24"/>
      <c r="C1591" s="24"/>
      <c r="D1591" s="24"/>
      <c r="E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</row>
    <row r="1592" spans="1:23">
      <c r="A1592" s="26"/>
      <c r="B1592" s="24"/>
      <c r="C1592" s="24"/>
      <c r="D1592" s="24"/>
      <c r="E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</row>
    <row r="1593" spans="1:23">
      <c r="A1593" s="26"/>
      <c r="B1593" s="24"/>
      <c r="C1593" s="24"/>
      <c r="D1593" s="24"/>
      <c r="E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</row>
    <row r="1594" spans="1:23">
      <c r="A1594" s="26"/>
      <c r="B1594" s="24"/>
      <c r="C1594" s="24"/>
      <c r="D1594" s="24"/>
      <c r="E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</row>
    <row r="1595" spans="1:23">
      <c r="A1595" s="26"/>
      <c r="B1595" s="24"/>
      <c r="C1595" s="24"/>
      <c r="D1595" s="24"/>
      <c r="E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</row>
    <row r="1596" spans="1:23">
      <c r="A1596" s="26"/>
      <c r="B1596" s="24"/>
      <c r="C1596" s="24"/>
      <c r="D1596" s="24"/>
      <c r="E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</row>
    <row r="1597" spans="1:23">
      <c r="A1597" s="26"/>
      <c r="B1597" s="24"/>
      <c r="C1597" s="24"/>
      <c r="D1597" s="24"/>
      <c r="E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</row>
    <row r="1598" spans="1:23">
      <c r="A1598" s="26"/>
      <c r="B1598" s="24"/>
      <c r="C1598" s="24"/>
      <c r="D1598" s="24"/>
      <c r="E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</row>
    <row r="1599" spans="1:23">
      <c r="A1599" s="26"/>
      <c r="B1599" s="24"/>
      <c r="C1599" s="24"/>
      <c r="D1599" s="24"/>
      <c r="E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</row>
    <row r="1600" spans="1:23">
      <c r="A1600" s="26"/>
      <c r="B1600" s="24"/>
      <c r="C1600" s="24"/>
      <c r="D1600" s="24"/>
      <c r="E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</row>
    <row r="1601" spans="1:23">
      <c r="A1601" s="26"/>
      <c r="B1601" s="24"/>
      <c r="C1601" s="24"/>
      <c r="D1601" s="24"/>
      <c r="E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</row>
    <row r="1602" spans="1:23">
      <c r="A1602" s="26"/>
      <c r="B1602" s="24"/>
      <c r="C1602" s="24"/>
      <c r="D1602" s="24"/>
      <c r="E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</row>
    <row r="1603" spans="1:23">
      <c r="A1603" s="26"/>
      <c r="B1603" s="24"/>
      <c r="C1603" s="24"/>
      <c r="D1603" s="24"/>
      <c r="E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</row>
    <row r="1604" spans="1:23">
      <c r="A1604" s="26"/>
      <c r="B1604" s="24"/>
      <c r="C1604" s="24"/>
      <c r="D1604" s="24"/>
      <c r="E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</row>
    <row r="1605" spans="1:23">
      <c r="A1605" s="26"/>
      <c r="B1605" s="24"/>
      <c r="C1605" s="24"/>
      <c r="D1605" s="24"/>
      <c r="E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</row>
    <row r="1606" spans="1:23">
      <c r="A1606" s="26"/>
      <c r="B1606" s="24"/>
      <c r="C1606" s="24"/>
      <c r="D1606" s="24"/>
      <c r="E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</row>
    <row r="1607" spans="1:23">
      <c r="A1607" s="26"/>
      <c r="B1607" s="24"/>
      <c r="C1607" s="24"/>
      <c r="D1607" s="24"/>
      <c r="E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</row>
    <row r="1608" spans="1:23">
      <c r="A1608" s="26"/>
      <c r="B1608" s="24"/>
      <c r="C1608" s="24"/>
      <c r="D1608" s="24"/>
      <c r="E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</row>
    <row r="1609" spans="1:23">
      <c r="A1609" s="26"/>
      <c r="B1609" s="24"/>
      <c r="C1609" s="24"/>
      <c r="D1609" s="24"/>
      <c r="E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</row>
    <row r="1610" spans="1:23">
      <c r="A1610" s="26"/>
      <c r="B1610" s="24"/>
      <c r="C1610" s="24"/>
      <c r="D1610" s="24"/>
      <c r="E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</row>
    <row r="1611" spans="1:23">
      <c r="A1611" s="26"/>
      <c r="B1611" s="24"/>
      <c r="C1611" s="24"/>
      <c r="D1611" s="24"/>
      <c r="E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</row>
    <row r="1612" spans="1:23">
      <c r="A1612" s="26"/>
      <c r="B1612" s="24"/>
      <c r="C1612" s="24"/>
      <c r="D1612" s="24"/>
      <c r="E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</row>
    <row r="1613" spans="1:23">
      <c r="A1613" s="26"/>
      <c r="B1613" s="24"/>
      <c r="C1613" s="24"/>
      <c r="D1613" s="24"/>
      <c r="E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</row>
    <row r="1614" spans="1:23">
      <c r="A1614" s="26"/>
      <c r="B1614" s="24"/>
      <c r="C1614" s="24"/>
      <c r="D1614" s="24"/>
      <c r="E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</row>
    <row r="1615" spans="1:23">
      <c r="A1615" s="26"/>
      <c r="B1615" s="24"/>
      <c r="C1615" s="24"/>
      <c r="D1615" s="24"/>
      <c r="E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</row>
    <row r="1616" spans="1:23">
      <c r="A1616" s="26"/>
      <c r="B1616" s="24"/>
      <c r="C1616" s="24"/>
      <c r="D1616" s="24"/>
      <c r="E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</row>
    <row r="1617" spans="1:23">
      <c r="A1617" s="26"/>
      <c r="B1617" s="24"/>
      <c r="C1617" s="24"/>
      <c r="D1617" s="24"/>
      <c r="E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</row>
    <row r="1618" spans="1:23">
      <c r="A1618" s="26"/>
      <c r="B1618" s="24"/>
      <c r="C1618" s="24"/>
      <c r="D1618" s="24"/>
      <c r="E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</row>
    <row r="1619" spans="1:23">
      <c r="A1619" s="26"/>
      <c r="B1619" s="24"/>
      <c r="C1619" s="24"/>
      <c r="D1619" s="24"/>
      <c r="E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</row>
    <row r="1620" spans="1:23">
      <c r="A1620" s="26"/>
      <c r="B1620" s="24"/>
      <c r="C1620" s="24"/>
      <c r="D1620" s="24"/>
      <c r="E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</row>
    <row r="1621" spans="1:23">
      <c r="A1621" s="26"/>
      <c r="B1621" s="24"/>
      <c r="C1621" s="24"/>
      <c r="D1621" s="24"/>
      <c r="E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</row>
    <row r="1622" spans="1:23">
      <c r="A1622" s="26"/>
      <c r="B1622" s="24"/>
      <c r="C1622" s="24"/>
      <c r="D1622" s="24"/>
      <c r="E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</row>
    <row r="1623" spans="1:23">
      <c r="A1623" s="26"/>
      <c r="B1623" s="24"/>
      <c r="C1623" s="24"/>
      <c r="D1623" s="24"/>
      <c r="E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</row>
    <row r="1624" spans="1:23">
      <c r="A1624" s="26"/>
      <c r="B1624" s="24"/>
      <c r="C1624" s="24"/>
      <c r="D1624" s="24"/>
      <c r="E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</row>
    <row r="1625" spans="1:23">
      <c r="A1625" s="26"/>
      <c r="B1625" s="24"/>
      <c r="C1625" s="24"/>
      <c r="D1625" s="24"/>
      <c r="E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</row>
    <row r="1626" spans="1:23">
      <c r="A1626" s="26"/>
      <c r="B1626" s="24"/>
      <c r="C1626" s="24"/>
      <c r="D1626" s="24"/>
      <c r="E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</row>
    <row r="1627" spans="1:23">
      <c r="A1627" s="26"/>
      <c r="B1627" s="24"/>
      <c r="C1627" s="24"/>
      <c r="D1627" s="24"/>
      <c r="E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</row>
    <row r="1628" spans="1:23">
      <c r="A1628" s="26"/>
      <c r="B1628" s="24"/>
      <c r="C1628" s="24"/>
      <c r="D1628" s="24"/>
      <c r="E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</row>
    <row r="1629" spans="1:23">
      <c r="A1629" s="26"/>
      <c r="B1629" s="24"/>
      <c r="C1629" s="24"/>
      <c r="D1629" s="24"/>
      <c r="E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</row>
    <row r="1630" spans="1:23">
      <c r="A1630" s="26"/>
      <c r="B1630" s="24"/>
      <c r="C1630" s="24"/>
      <c r="D1630" s="24"/>
      <c r="E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</row>
    <row r="1631" spans="1:23">
      <c r="A1631" s="26"/>
      <c r="B1631" s="24"/>
      <c r="C1631" s="24"/>
      <c r="D1631" s="24"/>
      <c r="E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</row>
    <row r="1632" spans="1:23">
      <c r="A1632" s="26"/>
      <c r="B1632" s="24"/>
      <c r="C1632" s="24"/>
      <c r="D1632" s="24"/>
      <c r="E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</row>
    <row r="1633" spans="1:23">
      <c r="A1633" s="26"/>
      <c r="B1633" s="24"/>
      <c r="C1633" s="24"/>
      <c r="D1633" s="24"/>
      <c r="E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</row>
    <row r="1634" spans="1:23">
      <c r="A1634" s="26"/>
      <c r="B1634" s="24"/>
      <c r="C1634" s="24"/>
      <c r="D1634" s="24"/>
      <c r="E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</row>
    <row r="1635" spans="1:23">
      <c r="A1635" s="26"/>
      <c r="B1635" s="24"/>
      <c r="C1635" s="24"/>
      <c r="D1635" s="24"/>
      <c r="E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</row>
    <row r="1636" spans="1:23">
      <c r="A1636" s="26"/>
      <c r="B1636" s="24"/>
      <c r="C1636" s="24"/>
      <c r="D1636" s="24"/>
      <c r="E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</row>
    <row r="1637" spans="1:23">
      <c r="A1637" s="26"/>
      <c r="B1637" s="24"/>
      <c r="C1637" s="24"/>
      <c r="D1637" s="24"/>
      <c r="E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</row>
    <row r="1638" spans="1:23">
      <c r="A1638" s="26"/>
      <c r="B1638" s="24"/>
      <c r="C1638" s="24"/>
      <c r="D1638" s="24"/>
      <c r="E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</row>
    <row r="1639" spans="1:23">
      <c r="A1639" s="26"/>
      <c r="B1639" s="24"/>
      <c r="C1639" s="24"/>
      <c r="D1639" s="24"/>
      <c r="E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</row>
    <row r="1640" spans="1:23">
      <c r="A1640" s="26"/>
      <c r="B1640" s="24"/>
      <c r="C1640" s="24"/>
      <c r="D1640" s="24"/>
      <c r="E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</row>
    <row r="1641" spans="1:23">
      <c r="A1641" s="26"/>
      <c r="B1641" s="24"/>
      <c r="C1641" s="24"/>
      <c r="D1641" s="24"/>
      <c r="E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</row>
    <row r="1642" spans="1:23">
      <c r="A1642" s="26"/>
      <c r="B1642" s="24"/>
      <c r="C1642" s="24"/>
      <c r="D1642" s="24"/>
      <c r="E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</row>
    <row r="1643" spans="1:23">
      <c r="A1643" s="26"/>
      <c r="B1643" s="24"/>
      <c r="C1643" s="24"/>
      <c r="D1643" s="24"/>
      <c r="E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</row>
    <row r="1644" spans="1:23">
      <c r="A1644" s="26"/>
      <c r="B1644" s="24"/>
      <c r="C1644" s="24"/>
      <c r="D1644" s="24"/>
      <c r="E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</row>
    <row r="1645" spans="1:23">
      <c r="A1645" s="26"/>
      <c r="B1645" s="24"/>
      <c r="C1645" s="24"/>
      <c r="D1645" s="24"/>
      <c r="E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</row>
    <row r="1646" spans="1:23">
      <c r="A1646" s="26"/>
      <c r="B1646" s="24"/>
      <c r="C1646" s="24"/>
      <c r="D1646" s="24"/>
      <c r="E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</row>
    <row r="1647" spans="1:23">
      <c r="A1647" s="26"/>
      <c r="B1647" s="24"/>
      <c r="C1647" s="24"/>
      <c r="D1647" s="24"/>
      <c r="E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</row>
    <row r="1648" spans="1:23">
      <c r="A1648" s="26"/>
      <c r="B1648" s="24"/>
      <c r="C1648" s="24"/>
      <c r="D1648" s="24"/>
      <c r="E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</row>
    <row r="1649" spans="1:23">
      <c r="A1649" s="26"/>
      <c r="B1649" s="24"/>
      <c r="C1649" s="24"/>
      <c r="D1649" s="24"/>
      <c r="E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</row>
    <row r="1650" spans="1:23">
      <c r="A1650" s="26"/>
      <c r="B1650" s="24"/>
      <c r="C1650" s="24"/>
      <c r="D1650" s="24"/>
      <c r="E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</row>
    <row r="1651" spans="1:23">
      <c r="A1651" s="26"/>
      <c r="B1651" s="24"/>
      <c r="C1651" s="24"/>
      <c r="D1651" s="24"/>
      <c r="E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</row>
    <row r="1652" spans="1:23">
      <c r="A1652" s="26"/>
      <c r="B1652" s="24"/>
      <c r="C1652" s="24"/>
      <c r="D1652" s="24"/>
      <c r="E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</row>
    <row r="1653" spans="1:23">
      <c r="A1653" s="26"/>
      <c r="B1653" s="24"/>
      <c r="C1653" s="24"/>
      <c r="D1653" s="24"/>
      <c r="E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</row>
    <row r="1654" spans="1:23">
      <c r="A1654" s="26"/>
      <c r="B1654" s="24"/>
      <c r="C1654" s="24"/>
      <c r="D1654" s="24"/>
      <c r="E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</row>
    <row r="1655" spans="1:23">
      <c r="A1655" s="26"/>
      <c r="B1655" s="24"/>
      <c r="C1655" s="24"/>
      <c r="D1655" s="24"/>
      <c r="E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</row>
    <row r="1656" spans="1:23">
      <c r="A1656" s="26"/>
      <c r="B1656" s="24"/>
      <c r="C1656" s="24"/>
      <c r="D1656" s="24"/>
      <c r="E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</row>
    <row r="1657" spans="1:23">
      <c r="A1657" s="26"/>
      <c r="B1657" s="24"/>
      <c r="C1657" s="24"/>
      <c r="D1657" s="24"/>
      <c r="E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</row>
    <row r="1658" spans="1:23">
      <c r="A1658" s="26"/>
      <c r="B1658" s="24"/>
      <c r="C1658" s="24"/>
      <c r="D1658" s="24"/>
      <c r="E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</row>
    <row r="1659" spans="1:23">
      <c r="A1659" s="26"/>
      <c r="B1659" s="24"/>
      <c r="C1659" s="24"/>
      <c r="D1659" s="24"/>
      <c r="E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</row>
    <row r="1660" spans="1:23">
      <c r="A1660" s="26"/>
      <c r="B1660" s="24"/>
      <c r="C1660" s="24"/>
      <c r="D1660" s="24"/>
      <c r="E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</row>
    <row r="1661" spans="1:23">
      <c r="A1661" s="26"/>
      <c r="B1661" s="24"/>
      <c r="C1661" s="24"/>
      <c r="D1661" s="24"/>
      <c r="E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</row>
    <row r="1662" spans="1:23">
      <c r="A1662" s="26"/>
      <c r="B1662" s="24"/>
      <c r="C1662" s="24"/>
      <c r="D1662" s="24"/>
      <c r="E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</row>
    <row r="1663" spans="1:23">
      <c r="A1663" s="26"/>
      <c r="B1663" s="24"/>
      <c r="C1663" s="24"/>
      <c r="D1663" s="24"/>
      <c r="E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</row>
    <row r="1664" spans="1:23">
      <c r="A1664" s="26"/>
      <c r="B1664" s="24"/>
      <c r="C1664" s="24"/>
      <c r="D1664" s="24"/>
      <c r="E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</row>
    <row r="1665" spans="1:23">
      <c r="A1665" s="26"/>
      <c r="B1665" s="24"/>
      <c r="C1665" s="24"/>
      <c r="D1665" s="24"/>
      <c r="E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</row>
    <row r="1666" spans="1:23">
      <c r="A1666" s="26"/>
      <c r="B1666" s="24"/>
      <c r="C1666" s="24"/>
      <c r="D1666" s="24"/>
      <c r="E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</row>
    <row r="1667" spans="1:23">
      <c r="A1667" s="26"/>
      <c r="B1667" s="24"/>
      <c r="C1667" s="24"/>
      <c r="D1667" s="24"/>
      <c r="E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</row>
    <row r="1668" spans="1:23">
      <c r="A1668" s="26"/>
      <c r="B1668" s="24"/>
      <c r="C1668" s="24"/>
      <c r="D1668" s="24"/>
      <c r="E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</row>
    <row r="1669" spans="1:23">
      <c r="A1669" s="26"/>
      <c r="B1669" s="24"/>
      <c r="C1669" s="24"/>
      <c r="D1669" s="24"/>
      <c r="E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</row>
    <row r="1670" spans="1:23">
      <c r="A1670" s="26"/>
      <c r="B1670" s="24"/>
      <c r="C1670" s="24"/>
      <c r="D1670" s="24"/>
      <c r="E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</row>
    <row r="1671" spans="1:23">
      <c r="A1671" s="26"/>
      <c r="B1671" s="24"/>
      <c r="C1671" s="24"/>
      <c r="D1671" s="24"/>
      <c r="E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</row>
    <row r="1672" spans="1:23">
      <c r="A1672" s="26"/>
      <c r="B1672" s="24"/>
      <c r="C1672" s="24"/>
      <c r="D1672" s="24"/>
      <c r="E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</row>
    <row r="1673" spans="1:23">
      <c r="A1673" s="26"/>
      <c r="B1673" s="24"/>
      <c r="C1673" s="24"/>
      <c r="D1673" s="24"/>
      <c r="E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</row>
    <row r="1674" spans="1:23">
      <c r="A1674" s="26"/>
      <c r="B1674" s="24"/>
      <c r="C1674" s="24"/>
      <c r="D1674" s="24"/>
      <c r="E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</row>
    <row r="1675" spans="1:23">
      <c r="A1675" s="26"/>
      <c r="B1675" s="24"/>
      <c r="C1675" s="24"/>
      <c r="D1675" s="24"/>
      <c r="E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</row>
    <row r="1676" spans="1:23">
      <c r="A1676" s="26"/>
      <c r="B1676" s="24"/>
      <c r="C1676" s="24"/>
      <c r="D1676" s="24"/>
      <c r="E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</row>
    <row r="1677" spans="1:23">
      <c r="A1677" s="26"/>
      <c r="B1677" s="24"/>
      <c r="C1677" s="24"/>
      <c r="D1677" s="24"/>
      <c r="E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</row>
    <row r="1678" spans="1:23">
      <c r="A1678" s="26"/>
      <c r="B1678" s="24"/>
      <c r="C1678" s="24"/>
      <c r="D1678" s="24"/>
      <c r="E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</row>
    <row r="1679" spans="1:23">
      <c r="A1679" s="26"/>
      <c r="B1679" s="24"/>
      <c r="C1679" s="24"/>
      <c r="D1679" s="24"/>
      <c r="E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</row>
    <row r="1680" spans="1:23">
      <c r="A1680" s="26"/>
      <c r="B1680" s="24"/>
      <c r="C1680" s="24"/>
      <c r="D1680" s="24"/>
      <c r="E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</row>
    <row r="1681" spans="1:23">
      <c r="A1681" s="26"/>
      <c r="B1681" s="24"/>
      <c r="C1681" s="24"/>
      <c r="D1681" s="24"/>
      <c r="E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</row>
    <row r="1682" spans="1:23">
      <c r="A1682" s="26"/>
      <c r="B1682" s="24"/>
      <c r="C1682" s="24"/>
      <c r="D1682" s="24"/>
      <c r="E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</row>
    <row r="1683" spans="1:23">
      <c r="A1683" s="26"/>
      <c r="B1683" s="24"/>
      <c r="C1683" s="24"/>
      <c r="D1683" s="24"/>
      <c r="E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</row>
    <row r="1684" spans="1:23">
      <c r="A1684" s="26"/>
      <c r="B1684" s="24"/>
      <c r="C1684" s="24"/>
      <c r="D1684" s="24"/>
      <c r="E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</row>
    <row r="1685" spans="1:23">
      <c r="A1685" s="26"/>
      <c r="B1685" s="24"/>
      <c r="C1685" s="24"/>
      <c r="D1685" s="24"/>
      <c r="E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</row>
    <row r="1686" spans="1:23">
      <c r="A1686" s="26"/>
      <c r="B1686" s="24"/>
      <c r="C1686" s="24"/>
      <c r="D1686" s="24"/>
      <c r="E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</row>
    <row r="1687" spans="1:23">
      <c r="A1687" s="26"/>
      <c r="B1687" s="24"/>
      <c r="C1687" s="24"/>
      <c r="D1687" s="24"/>
      <c r="E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</row>
    <row r="1688" spans="1:23">
      <c r="A1688" s="26"/>
      <c r="B1688" s="24"/>
      <c r="C1688" s="24"/>
      <c r="D1688" s="24"/>
      <c r="E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</row>
    <row r="1689" spans="1:23">
      <c r="A1689" s="26"/>
      <c r="B1689" s="24"/>
      <c r="C1689" s="24"/>
      <c r="D1689" s="24"/>
      <c r="E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</row>
    <row r="1690" spans="1:23">
      <c r="A1690" s="26"/>
      <c r="B1690" s="24"/>
      <c r="C1690" s="24"/>
      <c r="D1690" s="24"/>
      <c r="E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</row>
    <row r="1691" spans="1:23">
      <c r="A1691" s="26"/>
      <c r="B1691" s="24"/>
      <c r="C1691" s="24"/>
      <c r="D1691" s="24"/>
      <c r="E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</row>
    <row r="1692" spans="1:23">
      <c r="A1692" s="26"/>
      <c r="B1692" s="24"/>
      <c r="C1692" s="24"/>
      <c r="D1692" s="24"/>
      <c r="E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</row>
    <row r="1693" spans="1:23">
      <c r="A1693" s="26"/>
      <c r="B1693" s="24"/>
      <c r="C1693" s="24"/>
      <c r="D1693" s="24"/>
      <c r="E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</row>
    <row r="1694" spans="1:23">
      <c r="A1694" s="26"/>
      <c r="B1694" s="24"/>
      <c r="C1694" s="24"/>
      <c r="D1694" s="24"/>
      <c r="E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</row>
    <row r="1695" spans="1:23">
      <c r="A1695" s="26"/>
      <c r="B1695" s="24"/>
      <c r="C1695" s="24"/>
      <c r="D1695" s="24"/>
      <c r="E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</row>
    <row r="1696" spans="1:23">
      <c r="A1696" s="26"/>
      <c r="B1696" s="24"/>
      <c r="C1696" s="24"/>
      <c r="D1696" s="24"/>
      <c r="E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</row>
    <row r="1697" spans="1:23">
      <c r="A1697" s="26"/>
      <c r="B1697" s="24"/>
      <c r="C1697" s="24"/>
      <c r="D1697" s="24"/>
      <c r="E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</row>
    <row r="1698" spans="1:23">
      <c r="A1698" s="26"/>
      <c r="B1698" s="24"/>
      <c r="C1698" s="24"/>
      <c r="D1698" s="24"/>
      <c r="E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</row>
    <row r="1699" spans="1:23">
      <c r="A1699" s="26"/>
      <c r="B1699" s="24"/>
      <c r="C1699" s="24"/>
      <c r="D1699" s="24"/>
      <c r="E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</row>
    <row r="1700" spans="1:23">
      <c r="A1700" s="26"/>
      <c r="B1700" s="24"/>
      <c r="C1700" s="24"/>
      <c r="D1700" s="24"/>
      <c r="E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</row>
    <row r="1701" spans="1:23">
      <c r="A1701" s="26"/>
      <c r="B1701" s="24"/>
      <c r="C1701" s="24"/>
      <c r="D1701" s="24"/>
      <c r="E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</row>
    <row r="1702" spans="1:23">
      <c r="A1702" s="26"/>
      <c r="B1702" s="24"/>
      <c r="C1702" s="24"/>
      <c r="D1702" s="24"/>
      <c r="E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</row>
    <row r="1703" spans="1:23">
      <c r="A1703" s="26"/>
      <c r="B1703" s="24"/>
      <c r="C1703" s="24"/>
      <c r="D1703" s="24"/>
      <c r="E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</row>
    <row r="1704" spans="1:23">
      <c r="A1704" s="26"/>
      <c r="B1704" s="24"/>
      <c r="C1704" s="24"/>
      <c r="D1704" s="24"/>
      <c r="E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</row>
    <row r="1705" spans="1:23">
      <c r="A1705" s="26"/>
      <c r="B1705" s="24"/>
      <c r="C1705" s="24"/>
      <c r="D1705" s="24"/>
      <c r="E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</row>
    <row r="1706" spans="1:23">
      <c r="A1706" s="26"/>
      <c r="B1706" s="24"/>
      <c r="C1706" s="24"/>
      <c r="D1706" s="24"/>
      <c r="E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</row>
    <row r="1707" spans="1:23">
      <c r="A1707" s="26"/>
      <c r="B1707" s="24"/>
      <c r="C1707" s="24"/>
      <c r="D1707" s="24"/>
      <c r="E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</row>
    <row r="1708" spans="1:23">
      <c r="A1708" s="26"/>
      <c r="B1708" s="24"/>
      <c r="C1708" s="24"/>
      <c r="D1708" s="24"/>
      <c r="E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</row>
    <row r="1709" spans="1:23">
      <c r="A1709" s="26"/>
      <c r="B1709" s="24"/>
      <c r="C1709" s="24"/>
      <c r="D1709" s="24"/>
      <c r="E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</row>
    <row r="1710" spans="1:23">
      <c r="A1710" s="26"/>
      <c r="B1710" s="24"/>
      <c r="C1710" s="24"/>
      <c r="D1710" s="24"/>
      <c r="E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</row>
    <row r="1711" spans="1:23">
      <c r="A1711" s="26"/>
      <c r="B1711" s="24"/>
      <c r="C1711" s="24"/>
      <c r="D1711" s="24"/>
      <c r="E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</row>
    <row r="1712" spans="1:23">
      <c r="A1712" s="26"/>
      <c r="B1712" s="24"/>
      <c r="C1712" s="24"/>
      <c r="D1712" s="24"/>
      <c r="E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</row>
    <row r="1713" spans="1:23">
      <c r="A1713" s="26"/>
      <c r="B1713" s="24"/>
      <c r="C1713" s="24"/>
      <c r="D1713" s="24"/>
      <c r="E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</row>
    <row r="1714" spans="1:23">
      <c r="A1714" s="26"/>
      <c r="B1714" s="24"/>
      <c r="C1714" s="24"/>
      <c r="D1714" s="24"/>
      <c r="E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</row>
    <row r="1715" spans="1:23">
      <c r="A1715" s="26"/>
      <c r="B1715" s="24"/>
      <c r="C1715" s="24"/>
      <c r="D1715" s="24"/>
      <c r="E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</row>
    <row r="1716" spans="1:23">
      <c r="A1716" s="26"/>
      <c r="B1716" s="24"/>
      <c r="C1716" s="24"/>
      <c r="D1716" s="24"/>
      <c r="E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</row>
    <row r="1717" spans="1:23">
      <c r="A1717" s="26"/>
      <c r="B1717" s="24"/>
      <c r="C1717" s="24"/>
      <c r="D1717" s="24"/>
      <c r="E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</row>
    <row r="1718" spans="1:23">
      <c r="A1718" s="26"/>
      <c r="B1718" s="24"/>
      <c r="C1718" s="24"/>
      <c r="D1718" s="24"/>
      <c r="E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</row>
    <row r="1719" spans="1:23">
      <c r="A1719" s="26"/>
      <c r="B1719" s="24"/>
      <c r="C1719" s="24"/>
      <c r="D1719" s="24"/>
      <c r="E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</row>
    <row r="1720" spans="1:23">
      <c r="A1720" s="26"/>
      <c r="B1720" s="24"/>
      <c r="C1720" s="24"/>
      <c r="D1720" s="24"/>
      <c r="E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</row>
    <row r="1721" spans="1:23">
      <c r="A1721" s="26"/>
      <c r="B1721" s="24"/>
      <c r="C1721" s="24"/>
      <c r="D1721" s="24"/>
      <c r="E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</row>
    <row r="1722" spans="1:23">
      <c r="A1722" s="26"/>
      <c r="B1722" s="24"/>
      <c r="C1722" s="24"/>
      <c r="D1722" s="24"/>
      <c r="E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</row>
    <row r="1723" spans="1:23">
      <c r="A1723" s="26"/>
      <c r="B1723" s="24"/>
      <c r="C1723" s="24"/>
      <c r="D1723" s="24"/>
      <c r="E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</row>
    <row r="1724" spans="1:23">
      <c r="A1724" s="26"/>
      <c r="B1724" s="24"/>
      <c r="C1724" s="24"/>
      <c r="D1724" s="24"/>
      <c r="E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</row>
    <row r="1725" spans="1:23">
      <c r="A1725" s="26"/>
      <c r="B1725" s="24"/>
      <c r="C1725" s="24"/>
      <c r="D1725" s="24"/>
      <c r="E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</row>
    <row r="1726" spans="1:23">
      <c r="A1726" s="26"/>
      <c r="B1726" s="24"/>
      <c r="C1726" s="24"/>
      <c r="D1726" s="24"/>
      <c r="E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</row>
    <row r="1727" spans="1:23">
      <c r="A1727" s="26"/>
      <c r="B1727" s="24"/>
      <c r="C1727" s="24"/>
      <c r="D1727" s="24"/>
      <c r="E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</row>
    <row r="1728" spans="1:23">
      <c r="A1728" s="26"/>
      <c r="B1728" s="24"/>
      <c r="C1728" s="24"/>
      <c r="D1728" s="24"/>
      <c r="E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</row>
    <row r="1729" spans="1:23">
      <c r="A1729" s="26"/>
      <c r="B1729" s="24"/>
      <c r="C1729" s="24"/>
      <c r="D1729" s="24"/>
      <c r="E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</row>
    <row r="1730" spans="1:23">
      <c r="A1730" s="26"/>
      <c r="B1730" s="24"/>
      <c r="C1730" s="24"/>
      <c r="D1730" s="24"/>
      <c r="E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</row>
    <row r="1731" spans="1:23">
      <c r="A1731" s="26"/>
      <c r="B1731" s="24"/>
      <c r="C1731" s="24"/>
      <c r="D1731" s="24"/>
      <c r="E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</row>
    <row r="1732" spans="1:23">
      <c r="A1732" s="26"/>
      <c r="B1732" s="24"/>
      <c r="C1732" s="24"/>
      <c r="D1732" s="24"/>
      <c r="E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</row>
    <row r="1733" spans="1:23">
      <c r="A1733" s="26"/>
      <c r="B1733" s="24"/>
      <c r="C1733" s="24"/>
      <c r="D1733" s="24"/>
      <c r="E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</row>
    <row r="1734" spans="1:23">
      <c r="A1734" s="26"/>
      <c r="B1734" s="24"/>
      <c r="C1734" s="24"/>
      <c r="D1734" s="24"/>
      <c r="E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</row>
    <row r="1735" spans="1:23">
      <c r="A1735" s="26"/>
      <c r="B1735" s="24"/>
      <c r="C1735" s="24"/>
      <c r="D1735" s="24"/>
      <c r="E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</row>
    <row r="1736" spans="1:23">
      <c r="A1736" s="26"/>
      <c r="B1736" s="24"/>
      <c r="C1736" s="24"/>
      <c r="D1736" s="24"/>
      <c r="E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</row>
    <row r="1737" spans="1:23">
      <c r="A1737" s="26"/>
      <c r="B1737" s="24"/>
      <c r="C1737" s="24"/>
      <c r="D1737" s="24"/>
      <c r="E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</row>
    <row r="1738" spans="1:23">
      <c r="A1738" s="26"/>
      <c r="B1738" s="24"/>
      <c r="C1738" s="24"/>
      <c r="D1738" s="24"/>
      <c r="E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</row>
    <row r="1739" spans="1:23">
      <c r="A1739" s="26"/>
      <c r="B1739" s="24"/>
      <c r="C1739" s="24"/>
      <c r="D1739" s="24"/>
      <c r="E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</row>
    <row r="1740" spans="1:23">
      <c r="A1740" s="26"/>
      <c r="B1740" s="24"/>
      <c r="C1740" s="24"/>
      <c r="D1740" s="24"/>
      <c r="E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</row>
    <row r="1741" spans="1:23">
      <c r="A1741" s="26"/>
      <c r="B1741" s="24"/>
      <c r="C1741" s="24"/>
      <c r="D1741" s="24"/>
      <c r="E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</row>
    <row r="1742" spans="1:23">
      <c r="A1742" s="26"/>
      <c r="B1742" s="24"/>
      <c r="C1742" s="24"/>
      <c r="D1742" s="24"/>
      <c r="E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</row>
    <row r="1743" spans="1:23">
      <c r="A1743" s="26"/>
      <c r="B1743" s="24"/>
      <c r="C1743" s="24"/>
      <c r="D1743" s="24"/>
      <c r="E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</row>
    <row r="1744" spans="1:23">
      <c r="A1744" s="26"/>
      <c r="B1744" s="24"/>
      <c r="C1744" s="24"/>
      <c r="D1744" s="24"/>
      <c r="E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</row>
    <row r="1745" spans="1:23">
      <c r="A1745" s="26"/>
      <c r="B1745" s="24"/>
      <c r="C1745" s="24"/>
      <c r="D1745" s="24"/>
      <c r="E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</row>
    <row r="1746" spans="1:23">
      <c r="A1746" s="26"/>
      <c r="B1746" s="24"/>
      <c r="C1746" s="24"/>
      <c r="D1746" s="24"/>
      <c r="E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</row>
    <row r="1747" spans="1:23">
      <c r="A1747" s="26"/>
      <c r="B1747" s="24"/>
      <c r="C1747" s="24"/>
      <c r="D1747" s="24"/>
      <c r="E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</row>
    <row r="1748" spans="1:23">
      <c r="A1748" s="26"/>
      <c r="B1748" s="24"/>
      <c r="C1748" s="24"/>
      <c r="D1748" s="24"/>
      <c r="E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</row>
    <row r="1749" spans="1:23">
      <c r="A1749" s="26"/>
      <c r="B1749" s="24"/>
      <c r="C1749" s="24"/>
      <c r="D1749" s="24"/>
      <c r="E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</row>
    <row r="1750" spans="1:23">
      <c r="A1750" s="26"/>
      <c r="B1750" s="24"/>
      <c r="C1750" s="24"/>
      <c r="D1750" s="24"/>
      <c r="E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</row>
    <row r="1751" spans="1:23">
      <c r="A1751" s="26"/>
      <c r="B1751" s="24"/>
      <c r="C1751" s="24"/>
      <c r="D1751" s="24"/>
      <c r="E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</row>
    <row r="1752" spans="1:23">
      <c r="A1752" s="26"/>
      <c r="B1752" s="24"/>
      <c r="C1752" s="24"/>
      <c r="D1752" s="24"/>
      <c r="E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</row>
    <row r="1753" spans="1:23">
      <c r="A1753" s="26"/>
      <c r="B1753" s="24"/>
      <c r="C1753" s="24"/>
      <c r="D1753" s="24"/>
      <c r="E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</row>
    <row r="1754" spans="1:23">
      <c r="A1754" s="26"/>
      <c r="B1754" s="24"/>
      <c r="C1754" s="24"/>
      <c r="D1754" s="24"/>
      <c r="E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</row>
    <row r="1755" spans="1:23">
      <c r="A1755" s="26"/>
      <c r="B1755" s="24"/>
      <c r="C1755" s="24"/>
      <c r="D1755" s="24"/>
      <c r="E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</row>
    <row r="1756" spans="1:23">
      <c r="A1756" s="26"/>
      <c r="B1756" s="24"/>
      <c r="C1756" s="24"/>
      <c r="D1756" s="24"/>
      <c r="E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</row>
    <row r="1757" spans="1:23">
      <c r="A1757" s="26"/>
      <c r="B1757" s="24"/>
      <c r="C1757" s="24"/>
      <c r="D1757" s="24"/>
      <c r="E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</row>
    <row r="1758" spans="1:23">
      <c r="A1758" s="26"/>
      <c r="B1758" s="24"/>
      <c r="C1758" s="24"/>
      <c r="D1758" s="24"/>
      <c r="E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</row>
    <row r="1759" spans="1:23">
      <c r="A1759" s="26"/>
      <c r="B1759" s="24"/>
      <c r="C1759" s="24"/>
      <c r="D1759" s="24"/>
      <c r="E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</row>
    <row r="1760" spans="1:23">
      <c r="A1760" s="26"/>
      <c r="B1760" s="24"/>
      <c r="C1760" s="24"/>
      <c r="D1760" s="24"/>
      <c r="E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</row>
    <row r="1761" spans="1:23">
      <c r="A1761" s="26"/>
      <c r="B1761" s="24"/>
      <c r="C1761" s="24"/>
      <c r="D1761" s="24"/>
      <c r="E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</row>
    <row r="1762" spans="1:23">
      <c r="A1762" s="26"/>
      <c r="B1762" s="24"/>
      <c r="C1762" s="24"/>
      <c r="D1762" s="24"/>
      <c r="E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</row>
    <row r="1763" spans="1:23">
      <c r="A1763" s="26"/>
      <c r="B1763" s="24"/>
      <c r="C1763" s="24"/>
      <c r="D1763" s="24"/>
      <c r="E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</row>
    <row r="1764" spans="1:23">
      <c r="A1764" s="26"/>
      <c r="B1764" s="24"/>
      <c r="C1764" s="24"/>
      <c r="D1764" s="24"/>
      <c r="E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</row>
    <row r="1765" spans="1:23">
      <c r="A1765" s="26"/>
      <c r="B1765" s="24"/>
      <c r="C1765" s="24"/>
      <c r="D1765" s="24"/>
      <c r="E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</row>
    <row r="1766" spans="1:23">
      <c r="A1766" s="26"/>
      <c r="B1766" s="24"/>
      <c r="C1766" s="24"/>
      <c r="D1766" s="24"/>
      <c r="E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</row>
    <row r="1767" spans="1:23">
      <c r="A1767" s="26"/>
      <c r="B1767" s="24"/>
      <c r="C1767" s="24"/>
      <c r="D1767" s="24"/>
      <c r="E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</row>
    <row r="1768" spans="1:23">
      <c r="A1768" s="26"/>
      <c r="B1768" s="24"/>
      <c r="C1768" s="24"/>
      <c r="D1768" s="24"/>
      <c r="E1768" s="24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</row>
    <row r="1769" spans="1:23">
      <c r="A1769" s="26"/>
      <c r="B1769" s="24"/>
      <c r="C1769" s="24"/>
      <c r="D1769" s="24"/>
      <c r="E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</row>
    <row r="1770" spans="1:23">
      <c r="A1770" s="26"/>
      <c r="B1770" s="24"/>
      <c r="C1770" s="24"/>
      <c r="D1770" s="24"/>
      <c r="E1770" s="24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</row>
    <row r="1771" spans="1:23">
      <c r="A1771" s="26"/>
      <c r="B1771" s="24"/>
      <c r="C1771" s="24"/>
      <c r="D1771" s="24"/>
      <c r="E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</row>
    <row r="1772" spans="1:23">
      <c r="C1772" s="24"/>
      <c r="D1772" s="24"/>
      <c r="E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</row>
    <row r="1773" spans="1:23">
      <c r="C1773" s="24"/>
      <c r="D1773" s="24"/>
      <c r="E1773" s="24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</row>
  </sheetData>
  <autoFilter xmlns:etc="http://www.wps.cn/officeDocument/2017/etCustomData" ref="A1:U203" etc:filterBottomFollowUsedRange="0">
    <extLst/>
  </autoFilter>
  <mergeCells count="11">
    <mergeCell ref="A2:A15"/>
    <mergeCell ref="A16:A21"/>
    <mergeCell ref="A22:A34"/>
    <mergeCell ref="A35:A49"/>
    <mergeCell ref="A50:A61"/>
    <mergeCell ref="A62:A73"/>
    <mergeCell ref="A74:A91"/>
    <mergeCell ref="A92:A101"/>
    <mergeCell ref="A102:A121"/>
    <mergeCell ref="A122:A131"/>
    <mergeCell ref="A132:A201"/>
  </mergeCells>
  <conditionalFormatting sqref="G1:W1">
    <cfRule type="cellIs" dxfId="0" priority="57" operator="equal">
      <formula>1</formula>
    </cfRule>
  </conditionalFormatting>
  <conditionalFormatting sqref="F9">
    <cfRule type="cellIs" dxfId="1" priority="48" operator="equal">
      <formula>"hard"</formula>
    </cfRule>
    <cfRule type="cellIs" dxfId="2" priority="47" operator="equal">
      <formula>"superhard"</formula>
    </cfRule>
  </conditionalFormatting>
  <conditionalFormatting sqref="E10">
    <cfRule type="cellIs" dxfId="1" priority="30" operator="equal">
      <formula>"hard"</formula>
    </cfRule>
    <cfRule type="cellIs" dxfId="2" priority="29" operator="equal">
      <formula>"superhard"</formula>
    </cfRule>
  </conditionalFormatting>
  <conditionalFormatting sqref="C12">
    <cfRule type="cellIs" dxfId="1" priority="36" operator="equal">
      <formula>"hard"</formula>
    </cfRule>
    <cfRule type="cellIs" dxfId="2" priority="35" operator="equal">
      <formula>"superhard"</formula>
    </cfRule>
  </conditionalFormatting>
  <conditionalFormatting sqref="E14">
    <cfRule type="cellIs" dxfId="1" priority="28" operator="equal">
      <formula>"hard"</formula>
    </cfRule>
    <cfRule type="cellIs" dxfId="2" priority="27" operator="equal">
      <formula>"superhard"</formula>
    </cfRule>
  </conditionalFormatting>
  <conditionalFormatting sqref="C15">
    <cfRule type="cellIs" dxfId="1" priority="38" operator="equal">
      <formula>"hard"</formula>
    </cfRule>
    <cfRule type="cellIs" dxfId="2" priority="37" operator="equal">
      <formula>"superhard"</formula>
    </cfRule>
  </conditionalFormatting>
  <conditionalFormatting sqref="C39">
    <cfRule type="cellIs" dxfId="1" priority="24" operator="equal">
      <formula>"hard"</formula>
    </cfRule>
    <cfRule type="cellIs" dxfId="2" priority="23" operator="equal">
      <formula>"superhard"</formula>
    </cfRule>
  </conditionalFormatting>
  <conditionalFormatting sqref="C43">
    <cfRule type="cellIs" dxfId="1" priority="22" operator="equal">
      <formula>"hard"</formula>
    </cfRule>
    <cfRule type="cellIs" dxfId="2" priority="21" operator="equal">
      <formula>"superhard"</formula>
    </cfRule>
  </conditionalFormatting>
  <conditionalFormatting sqref="C47">
    <cfRule type="cellIs" dxfId="1" priority="20" operator="equal">
      <formula>"hard"</formula>
    </cfRule>
    <cfRule type="cellIs" dxfId="2" priority="19" operator="equal">
      <formula>"superhard"</formula>
    </cfRule>
  </conditionalFormatting>
  <conditionalFormatting sqref="C53">
    <cfRule type="cellIs" dxfId="1" priority="18" operator="equal">
      <formula>"hard"</formula>
    </cfRule>
    <cfRule type="cellIs" dxfId="2" priority="17" operator="equal">
      <formula>"superhard"</formula>
    </cfRule>
  </conditionalFormatting>
  <conditionalFormatting sqref="C55">
    <cfRule type="cellIs" dxfId="1" priority="16" operator="equal">
      <formula>"hard"</formula>
    </cfRule>
    <cfRule type="cellIs" dxfId="2" priority="15" operator="equal">
      <formula>"superhard"</formula>
    </cfRule>
  </conditionalFormatting>
  <conditionalFormatting sqref="C59">
    <cfRule type="cellIs" dxfId="1" priority="14" operator="equal">
      <formula>"hard"</formula>
    </cfRule>
    <cfRule type="cellIs" dxfId="2" priority="13" operator="equal">
      <formula>"superhard"</formula>
    </cfRule>
  </conditionalFormatting>
  <conditionalFormatting sqref="C63">
    <cfRule type="cellIs" dxfId="1" priority="4" operator="equal">
      <formula>"hard"</formula>
    </cfRule>
    <cfRule type="cellIs" dxfId="2" priority="3" operator="equal">
      <formula>"superhard"</formula>
    </cfRule>
  </conditionalFormatting>
  <conditionalFormatting sqref="C65">
    <cfRule type="cellIs" dxfId="1" priority="2" operator="equal">
      <formula>"hard"</formula>
    </cfRule>
    <cfRule type="cellIs" dxfId="2" priority="1" operator="equal">
      <formula>"superhard"</formula>
    </cfRule>
  </conditionalFormatting>
  <conditionalFormatting sqref="C66">
    <cfRule type="cellIs" dxfId="1" priority="10" operator="equal">
      <formula>"hard"</formula>
    </cfRule>
    <cfRule type="cellIs" dxfId="2" priority="9" operator="equal">
      <formula>"superhard"</formula>
    </cfRule>
  </conditionalFormatting>
  <conditionalFormatting sqref="C69">
    <cfRule type="cellIs" dxfId="1" priority="8" operator="equal">
      <formula>"hard"</formula>
    </cfRule>
    <cfRule type="cellIs" dxfId="2" priority="7" operator="equal">
      <formula>"superhard"</formula>
    </cfRule>
  </conditionalFormatting>
  <conditionalFormatting sqref="C71">
    <cfRule type="cellIs" dxfId="1" priority="6" operator="equal">
      <formula>"hard"</formula>
    </cfRule>
    <cfRule type="cellIs" dxfId="2" priority="5" operator="equal">
      <formula>"superhard"</formula>
    </cfRule>
  </conditionalFormatting>
  <conditionalFormatting sqref="F18:F31">
    <cfRule type="cellIs" dxfId="2" priority="49" operator="equal">
      <formula>"superhard"</formula>
    </cfRule>
    <cfRule type="cellIs" dxfId="1" priority="50" operator="equal">
      <formula>"hard"</formula>
    </cfRule>
  </conditionalFormatting>
  <conditionalFormatting sqref="C1:E6 C7:D7 C8:E9 C10:D11 C13:D14 C16:E17 C32:E38 C40:E42 C44:E46 C48:E52 C54:E54 C56:E58 C60:E62 C64:E64 C67:E68 C70:E70 C72:E1773 D12:E12 D15:E15 D39:E39 D43:E43 D47:E47 D53:E53 D55:E55 D59:E59 D63:E63 D65:E66 D69:E69 D71:E71">
    <cfRule type="cellIs" dxfId="2" priority="58" operator="equal">
      <formula>"superhard"</formula>
    </cfRule>
    <cfRule type="cellIs" dxfId="1" priority="59" operator="equal">
      <formula>"hard"</formula>
    </cfRule>
  </conditionalFormatting>
  <conditionalFormatting sqref="F1:F8 F10:F16 F33:F36 F38:F203">
    <cfRule type="cellIs" dxfId="2" priority="51" operator="equal">
      <formula>"superhard"</formula>
    </cfRule>
    <cfRule type="cellIs" dxfId="1" priority="52" operator="equal">
      <formula>"hard"</formula>
    </cfRule>
  </conditionalFormatting>
  <conditionalFormatting sqref="G2:U1773">
    <cfRule type="cellIs" dxfId="0" priority="54" operator="equal">
      <formula>1</formula>
    </cfRule>
  </conditionalFormatting>
  <conditionalFormatting sqref="V2:W1048576">
    <cfRule type="colorScale" priority="62">
      <colorScale>
        <cfvo type="min"/>
        <cfvo type="max"/>
        <color rgb="FFFCFCFF"/>
        <color rgb="FFF8696B"/>
      </colorScale>
    </cfRule>
  </conditionalFormatting>
  <conditionalFormatting sqref="C18:E31">
    <cfRule type="cellIs" dxfId="2" priority="55" operator="equal">
      <formula>"superhard"</formula>
    </cfRule>
    <cfRule type="cellIs" dxfId="1" priority="56" operator="equal">
      <formula>"hard"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203"/>
  <sheetViews>
    <sheetView workbookViewId="0">
      <pane ySplit="1" topLeftCell="A2" activePane="bottomLeft" state="frozen"/>
      <selection/>
      <selection pane="bottomLeft" activeCell="E2" sqref="E2:F201"/>
    </sheetView>
  </sheetViews>
  <sheetFormatPr defaultColWidth="9" defaultRowHeight="13.5"/>
  <cols>
    <col min="1" max="1" width="10.75" style="6" customWidth="1"/>
    <col min="3" max="3" width="10.125" style="6" customWidth="1"/>
    <col min="4" max="4" width="10" style="6" customWidth="1"/>
    <col min="5" max="5" width="20.25" style="6" customWidth="1"/>
    <col min="6" max="6" width="21.25" style="6" customWidth="1"/>
    <col min="7" max="14" width="13" style="6" customWidth="1"/>
    <col min="15" max="16" width="11.5" style="6" customWidth="1"/>
  </cols>
  <sheetData>
    <row r="1" s="19" customFormat="1" ht="14.25" customHeight="1" spans="1:16">
      <c r="A1" s="20" t="s">
        <v>59</v>
      </c>
      <c r="B1" s="21" t="s">
        <v>0</v>
      </c>
      <c r="C1" s="21" t="s">
        <v>1</v>
      </c>
      <c r="D1" s="21" t="s">
        <v>2</v>
      </c>
      <c r="E1" s="21" t="s">
        <v>60</v>
      </c>
      <c r="F1" s="21" t="s">
        <v>61</v>
      </c>
      <c r="G1" s="21" t="s">
        <v>62</v>
      </c>
      <c r="H1" s="21" t="s">
        <v>21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22" t="s">
        <v>68</v>
      </c>
      <c r="O1" s="22" t="s">
        <v>69</v>
      </c>
      <c r="P1" s="22" t="s">
        <v>23</v>
      </c>
    </row>
    <row r="2" ht="14.25" customHeight="1" spans="1:16">
      <c r="A2" s="23" t="s">
        <v>24</v>
      </c>
      <c r="B2" s="24">
        <v>1</v>
      </c>
      <c r="C2" s="24" t="s">
        <v>25</v>
      </c>
      <c r="D2" s="24">
        <v>1</v>
      </c>
      <c r="E2" s="25"/>
      <c r="F2" s="25"/>
      <c r="G2" s="24">
        <v>200</v>
      </c>
      <c r="H2" s="25">
        <v>2</v>
      </c>
      <c r="I2" s="25">
        <v>1</v>
      </c>
      <c r="J2">
        <f>IF(G2="","",1-EXP(-G2/参数配置!O6))</f>
        <v>0.221199216928595</v>
      </c>
      <c r="K2">
        <f t="shared" ref="K2:K65" si="0">IF(H2="","",((H2-2)/4)^2)</f>
        <v>0</v>
      </c>
      <c r="L2">
        <f t="shared" ref="L2:L65" si="1">IF(I2="","",1-2^(-I2))</f>
        <v>0.5</v>
      </c>
      <c r="M2">
        <f>IF(G2="","",(参数配置!O2*K2+参数配置!O3*(J2-(1-EXP(-200/参数配置!O6)))/((1-EXP(-1500/参数配置!O6))-(1-EXP(-200/参数配置!O6)))+参数配置!O4*(L2/(1-2^(-5)))+参数配置!O5*K2*(J2-(1-EXP(-200/参数配置!O6)))/((1-EXP(-1500/参数配置!O6))-(1-EXP(-200/参数配置!O6))))*100)</f>
        <v>7.74193548387097</v>
      </c>
      <c r="N2" t="e">
        <f t="array" ref="N2">IF(G2&gt;0,RLD_Label(G2,H2,I2),"")</f>
        <v>#NAME?</v>
      </c>
      <c r="O2">
        <v>1</v>
      </c>
      <c r="P2" s="25" t="str">
        <f>IFERROR(INDEX(参数配置!B:B,MATCH(O2,参数配置!A:A,0)),"")</f>
        <v>平缓推进</v>
      </c>
    </row>
    <row r="3" ht="14.25" customHeight="1" spans="1:16">
      <c r="B3" s="24">
        <v>2</v>
      </c>
      <c r="C3" s="24" t="s">
        <v>25</v>
      </c>
      <c r="D3" s="24">
        <v>1</v>
      </c>
      <c r="E3" s="25"/>
      <c r="F3" s="25"/>
      <c r="G3" s="24">
        <v>320</v>
      </c>
      <c r="H3" s="25">
        <v>3</v>
      </c>
      <c r="I3" s="25">
        <v>0</v>
      </c>
      <c r="J3" t="e">
        <f>IF(G3="","",1-EXP(-G3/参数配置!O7))</f>
        <v>#DIV/0!</v>
      </c>
      <c r="K3">
        <f t="shared" si="0"/>
        <v>0.0625</v>
      </c>
      <c r="L3">
        <f t="shared" si="1"/>
        <v>0</v>
      </c>
      <c r="M3" t="e">
        <f>IF(G3="","",(参数配置!O3*K3+参数配置!O4*(J3-(1-EXP(-200/参数配置!O7)))/((1-EXP(-1500/参数配置!O7))-(1-EXP(-200/参数配置!O7)))+参数配置!O5*(L3/(1-2^(-5)))+参数配置!O6*K3*(J3-(1-EXP(-200/参数配置!O7)))/((1-EXP(-1500/参数配置!O7))-(1-EXP(-200/参数配置!O7))))*100)</f>
        <v>#DIV/0!</v>
      </c>
      <c r="N3" t="e">
        <f t="array" ref="N3">IF(G3&gt;0,RLD_Label(G3,H3,I3),"")</f>
        <v>#NAME?</v>
      </c>
      <c r="O3">
        <v>1</v>
      </c>
      <c r="P3" s="25" t="str">
        <f>IFERROR(INDEX(参数配置!B:B,MATCH(O3,参数配置!A:A,0)),"")</f>
        <v>平缓推进</v>
      </c>
    </row>
    <row r="4" ht="14.25" customHeight="1" spans="1:16">
      <c r="B4" s="24">
        <v>3</v>
      </c>
      <c r="C4" s="24" t="s">
        <v>25</v>
      </c>
      <c r="D4" s="24">
        <v>1</v>
      </c>
      <c r="E4" s="25" t="s">
        <v>27</v>
      </c>
      <c r="F4" s="25"/>
      <c r="G4" s="24">
        <v>400</v>
      </c>
      <c r="H4" s="25">
        <v>3</v>
      </c>
      <c r="I4" s="25">
        <v>0</v>
      </c>
      <c r="J4" t="e">
        <f>IF(G4="","",1-EXP(-G4/参数配置!O8))</f>
        <v>#DIV/0!</v>
      </c>
      <c r="K4">
        <f t="shared" si="0"/>
        <v>0.0625</v>
      </c>
      <c r="L4">
        <f t="shared" si="1"/>
        <v>0</v>
      </c>
      <c r="M4" t="e">
        <f>IF(G4="","",(参数配置!O4*K4+参数配置!O5*(J4-(1-EXP(-200/参数配置!O8)))/((1-EXP(-1500/参数配置!O8))-(1-EXP(-200/参数配置!O8)))+参数配置!O6*(L4/(1-2^(-5)))+参数配置!O7*K4*(J4-(1-EXP(-200/参数配置!O8)))/((1-EXP(-1500/参数配置!O8))-(1-EXP(-200/参数配置!O8))))*100)</f>
        <v>#DIV/0!</v>
      </c>
      <c r="N4" t="e">
        <f t="array" ref="N4">IF(G4&gt;0,RLD_Label(G4,H4,I4),"")</f>
        <v>#NAME?</v>
      </c>
      <c r="O4">
        <v>1</v>
      </c>
      <c r="P4" s="25" t="str">
        <f>IFERROR(INDEX(参数配置!B:B,MATCH(O4,参数配置!A:A,0)),"")</f>
        <v>平缓推进</v>
      </c>
    </row>
    <row r="5" ht="14.25" customHeight="1" spans="1:16">
      <c r="B5" s="24">
        <v>4</v>
      </c>
      <c r="C5" s="24" t="s">
        <v>25</v>
      </c>
      <c r="D5" s="24">
        <v>1</v>
      </c>
      <c r="E5" s="25"/>
      <c r="F5" s="25"/>
      <c r="G5" s="24">
        <v>640</v>
      </c>
      <c r="H5" s="25">
        <v>4</v>
      </c>
      <c r="I5" s="25">
        <v>0</v>
      </c>
      <c r="J5" t="e">
        <f>IF(G5="","",1-EXP(-G5/参数配置!O9))</f>
        <v>#DIV/0!</v>
      </c>
      <c r="K5">
        <f t="shared" si="0"/>
        <v>0.25</v>
      </c>
      <c r="L5">
        <f t="shared" si="1"/>
        <v>0</v>
      </c>
      <c r="M5" t="e">
        <f>IF(G5="","",(参数配置!O5*K5+参数配置!O6*(J5-(1-EXP(-200/参数配置!O9)))/((1-EXP(-1500/参数配置!O9))-(1-EXP(-200/参数配置!O9)))+参数配置!O7*(L5/(1-2^(-5)))+参数配置!O8*K5*(J5-(1-EXP(-200/参数配置!O9)))/((1-EXP(-1500/参数配置!O9))-(1-EXP(-200/参数配置!O9))))*100)</f>
        <v>#DIV/0!</v>
      </c>
      <c r="N5" t="e">
        <f t="array" ref="N5">IF(G5&gt;0,RLD_Label(G5,H5,I5),"")</f>
        <v>#NAME?</v>
      </c>
      <c r="O5">
        <v>1</v>
      </c>
      <c r="P5" s="25" t="str">
        <f>IFERROR(INDEX(参数配置!B:B,MATCH(O5,参数配置!A:A,0)),"")</f>
        <v>平缓推进</v>
      </c>
    </row>
    <row r="6" ht="14.25" customHeight="1" spans="1:16">
      <c r="B6" s="24">
        <v>5</v>
      </c>
      <c r="C6" s="24" t="s">
        <v>25</v>
      </c>
      <c r="D6" s="24">
        <v>1</v>
      </c>
      <c r="E6" s="25" t="s">
        <v>28</v>
      </c>
      <c r="F6" s="25"/>
      <c r="G6" s="24"/>
      <c r="H6" s="25">
        <f>IF(ISBLANK('1-200关设定'!W6),"",'1-200关设定'!W6)</f>
        <v>3</v>
      </c>
      <c r="I6" s="25">
        <f>IF(ISBLANK('1-200关设定'!V6),"",'1-200关设定'!V6)</f>
        <v>1</v>
      </c>
      <c r="J6" t="str">
        <f>IF(G6="","",1-EXP(-G6/参数配置!O10))</f>
        <v/>
      </c>
      <c r="K6">
        <f t="shared" si="0"/>
        <v>0.0625</v>
      </c>
      <c r="L6">
        <f t="shared" si="1"/>
        <v>0.5</v>
      </c>
      <c r="M6" t="str">
        <f>IF(G6="","",(参数配置!O6*K6+参数配置!O7*(J6-(1-EXP(-200/参数配置!O10)))/((1-EXP(-1500/参数配置!O10))-(1-EXP(-200/参数配置!O10)))+参数配置!O8*(L6/(1-2^(-5)))+参数配置!O9*K6*(J6-(1-EXP(-200/参数配置!O10)))/((1-EXP(-1500/参数配置!O10))-(1-EXP(-200/参数配置!O10))))*100)</f>
        <v/>
      </c>
      <c r="N6" t="str">
        <f t="array" ref="N6">IF(G6&gt;0,RLD_Label(G6,H6,I6),"")</f>
        <v/>
      </c>
      <c r="O6">
        <v>1</v>
      </c>
      <c r="P6" s="25" t="str">
        <f>IFERROR(INDEX(参数配置!B:B,MATCH(O6,参数配置!A:A,0)),"")</f>
        <v>平缓推进</v>
      </c>
    </row>
    <row r="7" ht="14.25" customHeight="1" spans="1:16">
      <c r="B7" s="24">
        <v>6</v>
      </c>
      <c r="C7" s="24" t="s">
        <v>25</v>
      </c>
      <c r="D7" s="24">
        <v>0.9</v>
      </c>
      <c r="E7" s="25"/>
      <c r="F7" s="25"/>
      <c r="G7" s="24"/>
      <c r="H7" s="25">
        <f>IF(ISBLANK('1-200关设定'!W7),"",'1-200关设定'!W7)</f>
        <v>4</v>
      </c>
      <c r="I7" s="25">
        <f>IF(ISBLANK('1-200关设定'!V7),"",'1-200关设定'!V7)</f>
        <v>1</v>
      </c>
      <c r="J7" t="str">
        <f>IF(G7="","",1-EXP(-G7/参数配置!O11))</f>
        <v/>
      </c>
      <c r="K7">
        <f t="shared" si="0"/>
        <v>0.25</v>
      </c>
      <c r="L7">
        <f t="shared" si="1"/>
        <v>0.5</v>
      </c>
      <c r="M7" t="str">
        <f>IF(G7="","",(参数配置!O7*K7+参数配置!O8*(J7-(1-EXP(-200/参数配置!O11)))/((1-EXP(-1500/参数配置!O11))-(1-EXP(-200/参数配置!O11)))+参数配置!O9*(L7/(1-2^(-5)))+参数配置!O10*K7*(J7-(1-EXP(-200/参数配置!O11)))/((1-EXP(-1500/参数配置!O11))-(1-EXP(-200/参数配置!O11))))*100)</f>
        <v/>
      </c>
      <c r="N7" t="str">
        <f t="array" ref="N7">IF(G7&gt;0,RLD_Label(G7,H7,I7),"")</f>
        <v/>
      </c>
      <c r="O7">
        <v>1</v>
      </c>
      <c r="P7" s="25" t="str">
        <f>IFERROR(INDEX(参数配置!B:B,MATCH(O7,参数配置!A:A,0)),"")</f>
        <v>平缓推进</v>
      </c>
    </row>
    <row r="8" ht="14.25" customHeight="1" spans="1:16">
      <c r="B8" s="24">
        <v>7</v>
      </c>
      <c r="C8" s="24" t="s">
        <v>25</v>
      </c>
      <c r="D8" s="24">
        <v>1</v>
      </c>
      <c r="E8" s="25" t="s">
        <v>29</v>
      </c>
      <c r="F8" s="25"/>
      <c r="G8" s="24"/>
      <c r="H8" s="25">
        <f>IF(ISBLANK('1-200关设定'!W8),"",'1-200关设定'!W8)</f>
        <v>3</v>
      </c>
      <c r="I8" s="25">
        <f>IF(ISBLANK('1-200关设定'!V8),"",'1-200关设定'!V8)</f>
        <v>1</v>
      </c>
      <c r="J8" t="str">
        <f>IF(G8="","",1-EXP(-G8/参数配置!O12))</f>
        <v/>
      </c>
      <c r="K8">
        <f t="shared" si="0"/>
        <v>0.0625</v>
      </c>
      <c r="L8">
        <f t="shared" si="1"/>
        <v>0.5</v>
      </c>
      <c r="M8" t="str">
        <f>IF(G8="","",(参数配置!O8*K8+参数配置!O9*(J8-(1-EXP(-200/参数配置!O12)))/((1-EXP(-1500/参数配置!O12))-(1-EXP(-200/参数配置!O12)))+参数配置!O10*(L8/(1-2^(-5)))+参数配置!O11*K8*(J8-(1-EXP(-200/参数配置!O12)))/((1-EXP(-1500/参数配置!O12))-(1-EXP(-200/参数配置!O12))))*100)</f>
        <v/>
      </c>
      <c r="N8" t="str">
        <f t="array" ref="N8">IF(G8&gt;0,RLD_Label(G8,H8,I8),"")</f>
        <v/>
      </c>
      <c r="O8">
        <v>1</v>
      </c>
      <c r="P8" s="25" t="str">
        <f>IFERROR(INDEX(参数配置!B:B,MATCH(O8,参数配置!A:A,0)),"")</f>
        <v>平缓推进</v>
      </c>
    </row>
    <row r="9" ht="14.25" customHeight="1" spans="1:16">
      <c r="B9" s="24">
        <v>8</v>
      </c>
      <c r="C9" s="24" t="s">
        <v>25</v>
      </c>
      <c r="D9" s="24">
        <v>0.9</v>
      </c>
      <c r="E9" s="25"/>
      <c r="F9" s="25"/>
      <c r="G9" s="24"/>
      <c r="H9" s="25">
        <f>IF(ISBLANK('1-200关设定'!W9),"",'1-200关设定'!W9)</f>
        <v>4</v>
      </c>
      <c r="I9" s="25">
        <f>IF(ISBLANK('1-200关设定'!V9),"",'1-200关设定'!V9)</f>
        <v>1</v>
      </c>
      <c r="J9" t="str">
        <f>IF(G9="","",1-EXP(-G9/参数配置!O13))</f>
        <v/>
      </c>
      <c r="K9">
        <f t="shared" si="0"/>
        <v>0.25</v>
      </c>
      <c r="L9">
        <f t="shared" si="1"/>
        <v>0.5</v>
      </c>
      <c r="M9" t="str">
        <f>IF(G9="","",(参数配置!O9*K9+参数配置!O10*(J9-(1-EXP(-200/参数配置!O13)))/((1-EXP(-1500/参数配置!O13))-(1-EXP(-200/参数配置!O13)))+参数配置!O11*(L9/(1-2^(-5)))+参数配置!O12*K9*(J9-(1-EXP(-200/参数配置!O13)))/((1-EXP(-1500/参数配置!O13))-(1-EXP(-200/参数配置!O13))))*100)</f>
        <v/>
      </c>
      <c r="N9" t="str">
        <f t="array" ref="N9">IF(G9&gt;0,RLD_Label(G9,H9,I9),"")</f>
        <v/>
      </c>
      <c r="O9">
        <v>1</v>
      </c>
      <c r="P9" s="25" t="str">
        <f>IFERROR(INDEX(参数配置!B:B,MATCH(O9,参数配置!A:A,0)),"")</f>
        <v>平缓推进</v>
      </c>
    </row>
    <row r="10" ht="14.25" customHeight="1" spans="1:16">
      <c r="B10" s="24">
        <v>9</v>
      </c>
      <c r="C10" s="24" t="s">
        <v>25</v>
      </c>
      <c r="D10" s="24">
        <v>0.9</v>
      </c>
      <c r="E10" s="25"/>
      <c r="F10" s="25"/>
      <c r="G10" s="24"/>
      <c r="H10" s="25">
        <f>IF(ISBLANK('1-200关设定'!W10),"",'1-200关设定'!W10)</f>
        <v>4</v>
      </c>
      <c r="I10" s="25">
        <f>IF(ISBLANK('1-200关设定'!V10),"",'1-200关设定'!V10)</f>
        <v>2</v>
      </c>
      <c r="J10" t="str">
        <f>IF(G10="","",1-EXP(-G10/参数配置!O14))</f>
        <v/>
      </c>
      <c r="K10">
        <f t="shared" si="0"/>
        <v>0.25</v>
      </c>
      <c r="L10">
        <f t="shared" si="1"/>
        <v>0.75</v>
      </c>
      <c r="M10" t="str">
        <f>IF(G10="","",(参数配置!O10*K10+参数配置!O11*(J10-(1-EXP(-200/参数配置!O14)))/((1-EXP(-1500/参数配置!O14))-(1-EXP(-200/参数配置!O14)))+参数配置!O12*(L10/(1-2^(-5)))+参数配置!O13*K10*(J10-(1-EXP(-200/参数配置!O14)))/((1-EXP(-1500/参数配置!O14))-(1-EXP(-200/参数配置!O14))))*100)</f>
        <v/>
      </c>
      <c r="N10" t="str">
        <f t="array" ref="N10">IF(G10&gt;0,RLD_Label(G10,H10,I10),"")</f>
        <v/>
      </c>
      <c r="O10">
        <v>1</v>
      </c>
      <c r="P10" s="25" t="str">
        <f>IFERROR(INDEX(参数配置!B:B,MATCH(O10,参数配置!A:A,0)),"")</f>
        <v>平缓推进</v>
      </c>
    </row>
    <row r="11" ht="14.25" customHeight="1" spans="1:16">
      <c r="B11" s="24">
        <v>10</v>
      </c>
      <c r="C11" s="24" t="s">
        <v>25</v>
      </c>
      <c r="D11" s="24">
        <v>1</v>
      </c>
      <c r="E11" s="25" t="s">
        <v>30</v>
      </c>
      <c r="F11" s="25"/>
      <c r="G11" s="24"/>
      <c r="H11" s="25">
        <f>IF(ISBLANK('1-200关设定'!W11),"",'1-200关设定'!W11)</f>
        <v>3</v>
      </c>
      <c r="I11" s="25">
        <f>IF(ISBLANK('1-200关设定'!V11),"",'1-200关设定'!V11)</f>
        <v>1</v>
      </c>
      <c r="J11" t="str">
        <f>IF(G11="","",1-EXP(-G11/参数配置!O15))</f>
        <v/>
      </c>
      <c r="K11">
        <f t="shared" si="0"/>
        <v>0.0625</v>
      </c>
      <c r="L11">
        <f t="shared" si="1"/>
        <v>0.5</v>
      </c>
      <c r="M11" t="str">
        <f>IF(G11="","",(参数配置!O11*K11+参数配置!O12*(J11-(1-EXP(-200/参数配置!O15)))/((1-EXP(-1500/参数配置!O15))-(1-EXP(-200/参数配置!O15)))+参数配置!O13*(L11/(1-2^(-5)))+参数配置!O14*K11*(J11-(1-EXP(-200/参数配置!O15)))/((1-EXP(-1500/参数配置!O15))-(1-EXP(-200/参数配置!O15))))*100)</f>
        <v/>
      </c>
      <c r="N11" t="str">
        <f t="array" ref="N11">IF(G11&gt;0,RLD_Label(G11,H11,I11),"")</f>
        <v/>
      </c>
      <c r="O11">
        <v>1</v>
      </c>
      <c r="P11" s="25" t="str">
        <f>IFERROR(INDEX(参数配置!B:B,MATCH(O11,参数配置!A:A,0)),"")</f>
        <v>平缓推进</v>
      </c>
    </row>
    <row r="12" ht="14.25" customHeight="1" spans="1:16">
      <c r="B12" s="24">
        <v>11</v>
      </c>
      <c r="C12" s="24" t="s">
        <v>25</v>
      </c>
      <c r="D12" s="24">
        <v>0.9</v>
      </c>
      <c r="E12" s="25"/>
      <c r="F12" s="25"/>
      <c r="G12" s="24"/>
      <c r="H12" s="25">
        <f>IF(ISBLANK('1-200关设定'!W12),"",'1-200关设定'!W12)</f>
        <v>4</v>
      </c>
      <c r="I12" s="25">
        <f>IF(ISBLANK('1-200关设定'!V12),"",'1-200关设定'!V12)</f>
        <v>2</v>
      </c>
      <c r="J12" t="str">
        <f>IF(G12="","",1-EXP(-G12/参数配置!O16))</f>
        <v/>
      </c>
      <c r="K12">
        <f t="shared" si="0"/>
        <v>0.25</v>
      </c>
      <c r="L12">
        <f t="shared" si="1"/>
        <v>0.75</v>
      </c>
      <c r="M12" t="str">
        <f>IF(G12="","",(参数配置!O12*K12+参数配置!O13*(J12-(1-EXP(-200/参数配置!O16)))/((1-EXP(-1500/参数配置!O16))-(1-EXP(-200/参数配置!O16)))+参数配置!O14*(L12/(1-2^(-5)))+参数配置!O15*K12*(J12-(1-EXP(-200/参数配置!O16)))/((1-EXP(-1500/参数配置!O16))-(1-EXP(-200/参数配置!O16))))*100)</f>
        <v/>
      </c>
      <c r="N12" t="str">
        <f t="array" ref="N12">IF(G12&gt;0,RLD_Label(G12,H12,I12),"")</f>
        <v/>
      </c>
      <c r="O12">
        <v>1</v>
      </c>
      <c r="P12" s="25" t="str">
        <f>IFERROR(INDEX(参数配置!B:B,MATCH(O12,参数配置!A:A,0)),"")</f>
        <v>平缓推进</v>
      </c>
    </row>
    <row r="13" ht="14.25" customHeight="1" spans="1:16">
      <c r="A13" s="23"/>
      <c r="B13" s="24">
        <v>12</v>
      </c>
      <c r="C13" s="24" t="s">
        <v>25</v>
      </c>
      <c r="D13" s="24">
        <v>0.9</v>
      </c>
      <c r="E13" s="25"/>
      <c r="F13" s="25"/>
      <c r="G13" s="24"/>
      <c r="H13" s="25">
        <f>IF(ISBLANK('1-200关设定'!W13),"",'1-200关设定'!W13)</f>
        <v>4</v>
      </c>
      <c r="I13" s="25">
        <f>IF(ISBLANK('1-200关设定'!V13),"",'1-200关设定'!V13)</f>
        <v>2</v>
      </c>
      <c r="J13" t="str">
        <f>IF(G13="","",1-EXP(-G13/参数配置!O17))</f>
        <v/>
      </c>
      <c r="K13">
        <f t="shared" si="0"/>
        <v>0.25</v>
      </c>
      <c r="L13">
        <f t="shared" si="1"/>
        <v>0.75</v>
      </c>
      <c r="M13" t="str">
        <f>IF(G13="","",(参数配置!O13*K13+参数配置!O14*(J13-(1-EXP(-200/参数配置!O17)))/((1-EXP(-1500/参数配置!O17))-(1-EXP(-200/参数配置!O17)))+参数配置!O15*(L13/(1-2^(-5)))+参数配置!O16*K13*(J13-(1-EXP(-200/参数配置!O17)))/((1-EXP(-1500/参数配置!O17))-(1-EXP(-200/参数配置!O17))))*100)</f>
        <v/>
      </c>
      <c r="N13" t="str">
        <f t="array" ref="N13">IF(G13&gt;0,RLD_Label(G13,H13,I13),"")</f>
        <v/>
      </c>
      <c r="O13">
        <v>1</v>
      </c>
      <c r="P13" s="25" t="str">
        <f>IFERROR(INDEX(参数配置!B:B,MATCH(O13,参数配置!A:A,0)),"")</f>
        <v>平缓推进</v>
      </c>
    </row>
    <row r="14" ht="14.25" customHeight="1" spans="1:16">
      <c r="B14" s="24">
        <v>13</v>
      </c>
      <c r="C14" s="24" t="s">
        <v>25</v>
      </c>
      <c r="D14" s="24">
        <v>0.9</v>
      </c>
      <c r="E14" s="25" t="s">
        <v>31</v>
      </c>
      <c r="F14" s="25"/>
      <c r="G14" s="24"/>
      <c r="H14" s="25">
        <f>IF(ISBLANK('1-200关设定'!W14),"",'1-200关设定'!W14)</f>
        <v>5</v>
      </c>
      <c r="I14" s="25">
        <f>IF(ISBLANK('1-200关设定'!V14),"",'1-200关设定'!V14)</f>
        <v>0</v>
      </c>
      <c r="J14" t="str">
        <f>IF(G14="","",1-EXP(-G14/参数配置!O18))</f>
        <v/>
      </c>
      <c r="K14">
        <f t="shared" si="0"/>
        <v>0.5625</v>
      </c>
      <c r="L14">
        <f t="shared" si="1"/>
        <v>0</v>
      </c>
      <c r="M14" t="str">
        <f>IF(G14="","",(参数配置!O14*K14+参数配置!O15*(J14-(1-EXP(-200/参数配置!O18)))/((1-EXP(-1500/参数配置!O18))-(1-EXP(-200/参数配置!O18)))+参数配置!O16*(L14/(1-2^(-5)))+参数配置!O17*K14*(J14-(1-EXP(-200/参数配置!O18)))/((1-EXP(-1500/参数配置!O18))-(1-EXP(-200/参数配置!O18))))*100)</f>
        <v/>
      </c>
      <c r="N14" t="str">
        <f t="array" ref="N14">IF(G14&gt;0,RLD_Label(G14,H14,I14),"")</f>
        <v/>
      </c>
      <c r="O14">
        <v>1</v>
      </c>
      <c r="P14" s="25" t="str">
        <f>IFERROR(INDEX(参数配置!B:B,MATCH(O14,参数配置!A:A,0)),"")</f>
        <v>平缓推进</v>
      </c>
    </row>
    <row r="15" ht="14.25" customHeight="1" spans="1:16">
      <c r="B15" s="24">
        <v>14</v>
      </c>
      <c r="C15" s="24" t="s">
        <v>32</v>
      </c>
      <c r="D15" s="24">
        <v>0.7</v>
      </c>
      <c r="E15" s="25"/>
      <c r="F15" s="25"/>
      <c r="G15" s="24"/>
      <c r="H15" s="25">
        <f>IF(ISBLANK('1-200关设定'!W15),"",'1-200关设定'!W15)</f>
        <v>4</v>
      </c>
      <c r="I15" s="25">
        <f>IF(ISBLANK('1-200关设定'!V15),"",'1-200关设定'!V15)</f>
        <v>3</v>
      </c>
      <c r="J15" t="str">
        <f>IF(G15="","",1-EXP(-G15/参数配置!O19))</f>
        <v/>
      </c>
      <c r="K15">
        <f t="shared" si="0"/>
        <v>0.25</v>
      </c>
      <c r="L15">
        <f t="shared" si="1"/>
        <v>0.875</v>
      </c>
      <c r="M15" t="str">
        <f>IF(G15="","",(参数配置!O15*K15+参数配置!O16*(J15-(1-EXP(-200/参数配置!O19)))/((1-EXP(-1500/参数配置!O19))-(1-EXP(-200/参数配置!O19)))+参数配置!O17*(L15/(1-2^(-5)))+参数配置!O18*K15*(J15-(1-EXP(-200/参数配置!O19)))/((1-EXP(-1500/参数配置!O19))-(1-EXP(-200/参数配置!O19))))*100)</f>
        <v/>
      </c>
      <c r="N15" t="str">
        <f t="array" ref="N15">IF(G15&gt;0,RLD_Label(G15,H15,I15),"")</f>
        <v/>
      </c>
      <c r="O15">
        <v>1</v>
      </c>
      <c r="P15" s="25" t="str">
        <f>IFERROR(INDEX(参数配置!B:B,MATCH(O15,参数配置!A:A,0)),"")</f>
        <v>平缓推进</v>
      </c>
    </row>
    <row r="16" ht="14.25" customHeight="1" spans="1:16">
      <c r="B16" s="24">
        <v>15</v>
      </c>
      <c r="C16" s="24" t="s">
        <v>25</v>
      </c>
      <c r="D16" s="24">
        <v>0.85</v>
      </c>
      <c r="E16" s="25"/>
      <c r="F16" s="25" t="s">
        <v>33</v>
      </c>
      <c r="G16" s="24"/>
      <c r="H16" s="25">
        <f>IF(ISBLANK('1-200关设定'!W16),"",'1-200关设定'!W16)</f>
        <v>4</v>
      </c>
      <c r="I16" s="25">
        <f>IF(ISBLANK('1-200关设定'!V16),"",'1-200关设定'!V16)</f>
        <v>1</v>
      </c>
      <c r="J16" t="str">
        <f>IF(G16="","",1-EXP(-G16/参数配置!O20))</f>
        <v/>
      </c>
      <c r="K16">
        <f t="shared" si="0"/>
        <v>0.25</v>
      </c>
      <c r="L16">
        <f t="shared" si="1"/>
        <v>0.5</v>
      </c>
      <c r="M16" t="str">
        <f>IF(G16="","",(参数配置!O16*K16+参数配置!O17*(J16-(1-EXP(-200/参数配置!O20)))/((1-EXP(-1500/参数配置!O20))-(1-EXP(-200/参数配置!O20)))+参数配置!O18*(L16/(1-2^(-5)))+参数配置!O19*K16*(J16-(1-EXP(-200/参数配置!O20)))/((1-EXP(-1500/参数配置!O20))-(1-EXP(-200/参数配置!O20))))*100)</f>
        <v/>
      </c>
      <c r="N16" t="str">
        <f t="array" ref="N16">IF(G16&gt;0,RLD_Label(G16,H16,I16),"")</f>
        <v/>
      </c>
      <c r="O16">
        <v>1</v>
      </c>
      <c r="P16" s="25" t="str">
        <f>IFERROR(INDEX(参数配置!B:B,MATCH(O16,参数配置!A:A,0)),"")</f>
        <v>平缓推进</v>
      </c>
    </row>
    <row r="17" ht="14.25" customHeight="1" spans="1:16">
      <c r="B17" s="24">
        <v>16</v>
      </c>
      <c r="C17" s="24" t="s">
        <v>25</v>
      </c>
      <c r="D17" s="24">
        <v>0.85</v>
      </c>
      <c r="E17" s="25" t="s">
        <v>34</v>
      </c>
      <c r="F17" s="25"/>
      <c r="G17" s="24"/>
      <c r="H17" s="25">
        <f>IF(ISBLANK('1-200关设定'!W17),"",'1-200关设定'!W17)</f>
        <v>3</v>
      </c>
      <c r="I17" s="25">
        <f>IF(ISBLANK('1-200关设定'!V17),"",'1-200关设定'!V17)</f>
        <v>0</v>
      </c>
      <c r="J17" t="str">
        <f>IF(G17="","",1-EXP(-G17/参数配置!O21))</f>
        <v/>
      </c>
      <c r="K17">
        <f t="shared" si="0"/>
        <v>0.0625</v>
      </c>
      <c r="L17">
        <f t="shared" si="1"/>
        <v>0</v>
      </c>
      <c r="M17" t="str">
        <f>IF(G17="","",(参数配置!O17*K17+参数配置!O18*(J17-(1-EXP(-200/参数配置!O21)))/((1-EXP(-1500/参数配置!O21))-(1-EXP(-200/参数配置!O21)))+参数配置!O19*(L17/(1-2^(-5)))+参数配置!O20*K17*(J17-(1-EXP(-200/参数配置!O21)))/((1-EXP(-1500/参数配置!O21))-(1-EXP(-200/参数配置!O21))))*100)</f>
        <v/>
      </c>
      <c r="N17" t="str">
        <f t="array" ref="N17">IF(G17&gt;0,RLD_Label(G17,H17,I17),"")</f>
        <v/>
      </c>
      <c r="O17">
        <v>1</v>
      </c>
      <c r="P17" s="25" t="str">
        <f>IFERROR(INDEX(参数配置!B:B,MATCH(O17,参数配置!A:A,0)),"")</f>
        <v>平缓推进</v>
      </c>
    </row>
    <row r="18" ht="14.25" customHeight="1" spans="1:16">
      <c r="B18" s="24">
        <v>17</v>
      </c>
      <c r="C18" s="24" t="s">
        <v>25</v>
      </c>
      <c r="D18" s="24">
        <v>0.85</v>
      </c>
      <c r="E18" s="25"/>
      <c r="F18" s="25"/>
      <c r="G18" s="24"/>
      <c r="H18" s="25">
        <f>IF(ISBLANK('1-200关设定'!W18),"",'1-200关设定'!W18)</f>
        <v>4</v>
      </c>
      <c r="I18" s="25">
        <f>IF(ISBLANK('1-200关设定'!V18),"",'1-200关设定'!V18)</f>
        <v>2</v>
      </c>
      <c r="J18" t="str">
        <f>IF(G18="","",1-EXP(-G18/参数配置!O22))</f>
        <v/>
      </c>
      <c r="K18">
        <f t="shared" si="0"/>
        <v>0.25</v>
      </c>
      <c r="L18">
        <f t="shared" si="1"/>
        <v>0.75</v>
      </c>
      <c r="M18" t="str">
        <f>IF(G18="","",(参数配置!O18*K18+参数配置!O19*(J18-(1-EXP(-200/参数配置!O22)))/((1-EXP(-1500/参数配置!O22))-(1-EXP(-200/参数配置!O22)))+参数配置!O20*(L18/(1-2^(-5)))+参数配置!O21*K18*(J18-(1-EXP(-200/参数配置!O22)))/((1-EXP(-1500/参数配置!O22))-(1-EXP(-200/参数配置!O22))))*100)</f>
        <v/>
      </c>
      <c r="N18" t="str">
        <f t="array" ref="N18">IF(G18&gt;0,RLD_Label(G18,H18,I18),"")</f>
        <v/>
      </c>
      <c r="O18">
        <v>1</v>
      </c>
      <c r="P18" s="25" t="str">
        <f>IFERROR(INDEX(参数配置!B:B,MATCH(O18,参数配置!A:A,0)),"")</f>
        <v>平缓推进</v>
      </c>
    </row>
    <row r="19" ht="14.25" customHeight="1" spans="1:16">
      <c r="B19" s="24">
        <v>18</v>
      </c>
      <c r="C19" s="24" t="s">
        <v>25</v>
      </c>
      <c r="D19" s="24">
        <v>0.85</v>
      </c>
      <c r="E19" s="25" t="s">
        <v>37</v>
      </c>
      <c r="F19" s="25"/>
      <c r="G19" s="24"/>
      <c r="H19" s="25">
        <f>IF(ISBLANK('1-200关设定'!W19),"",'1-200关设定'!W19)</f>
        <v>5</v>
      </c>
      <c r="I19" s="25">
        <f>IF(ISBLANK('1-200关设定'!V19),"",'1-200关设定'!V19)</f>
        <v>2</v>
      </c>
      <c r="J19" t="str">
        <f>IF(G19="","",1-EXP(-G19/参数配置!O23))</f>
        <v/>
      </c>
      <c r="K19">
        <f t="shared" si="0"/>
        <v>0.5625</v>
      </c>
      <c r="L19">
        <f t="shared" si="1"/>
        <v>0.75</v>
      </c>
      <c r="M19" t="str">
        <f>IF(G19="","",(参数配置!O19*K19+参数配置!O20*(J19-(1-EXP(-200/参数配置!O23)))/((1-EXP(-1500/参数配置!O23))-(1-EXP(-200/参数配置!O23)))+参数配置!O21*(L19/(1-2^(-5)))+参数配置!O22*K19*(J19-(1-EXP(-200/参数配置!O23)))/((1-EXP(-1500/参数配置!O23))-(1-EXP(-200/参数配置!O23))))*100)</f>
        <v/>
      </c>
      <c r="N19" t="str">
        <f t="array" ref="N19">IF(G19&gt;0,RLD_Label(G19,H19,I19),"")</f>
        <v/>
      </c>
      <c r="O19">
        <v>1</v>
      </c>
      <c r="P19" s="25" t="str">
        <f>IFERROR(INDEX(参数配置!B:B,MATCH(O19,参数配置!A:A,0)),"")</f>
        <v>平缓推进</v>
      </c>
    </row>
    <row r="20" ht="14.25" customHeight="1" spans="1:16">
      <c r="B20" s="24">
        <v>19</v>
      </c>
      <c r="C20" s="24" t="s">
        <v>32</v>
      </c>
      <c r="D20" s="24">
        <v>0.6</v>
      </c>
      <c r="E20" s="25"/>
      <c r="F20" s="25" t="s">
        <v>39</v>
      </c>
      <c r="G20" s="24"/>
      <c r="H20" s="25">
        <f>IF(ISBLANK('1-200关设定'!W20),"",'1-200关设定'!W20)</f>
        <v>5</v>
      </c>
      <c r="I20" s="25">
        <f>IF(ISBLANK('1-200关设定'!V20),"",'1-200关设定'!V20)</f>
        <v>1</v>
      </c>
      <c r="J20" t="str">
        <f>IF(G20="","",1-EXP(-G20/参数配置!O24))</f>
        <v/>
      </c>
      <c r="K20">
        <f t="shared" si="0"/>
        <v>0.5625</v>
      </c>
      <c r="L20">
        <f t="shared" si="1"/>
        <v>0.5</v>
      </c>
      <c r="M20" t="str">
        <f>IF(G20="","",(参数配置!O20*K20+参数配置!O21*(J20-(1-EXP(-200/参数配置!O24)))/((1-EXP(-1500/参数配置!O24))-(1-EXP(-200/参数配置!O24)))+参数配置!O22*(L20/(1-2^(-5)))+参数配置!O23*K20*(J20-(1-EXP(-200/参数配置!O24)))/((1-EXP(-1500/参数配置!O24))-(1-EXP(-200/参数配置!O24))))*100)</f>
        <v/>
      </c>
      <c r="N20" t="str">
        <f t="array" ref="N20">IF(G20&gt;0,RLD_Label(G20,H20,I20),"")</f>
        <v/>
      </c>
      <c r="O20">
        <v>2</v>
      </c>
      <c r="P20" s="25" t="str">
        <f>IFERROR(INDEX(参数配置!B:B,MATCH(O20,参数配置!A:A,0)),"")</f>
        <v>波动前进</v>
      </c>
    </row>
    <row r="21" ht="14.25" customHeight="1" spans="1:16">
      <c r="B21" s="24">
        <v>20</v>
      </c>
      <c r="C21" s="24" t="s">
        <v>41</v>
      </c>
      <c r="D21" s="24">
        <v>0.4</v>
      </c>
      <c r="E21" s="25"/>
      <c r="F21" s="25"/>
      <c r="G21" s="24"/>
      <c r="H21" s="25">
        <f>IF(ISBLANK('1-200关设定'!W21),"",'1-200关设定'!W21)</f>
        <v>4</v>
      </c>
      <c r="I21" s="25">
        <f>IF(ISBLANK('1-200关设定'!V21),"",'1-200关设定'!V21)</f>
        <v>3</v>
      </c>
      <c r="J21" t="str">
        <f>IF(G21="","",1-EXP(-G21/参数配置!O25))</f>
        <v/>
      </c>
      <c r="K21">
        <f t="shared" si="0"/>
        <v>0.25</v>
      </c>
      <c r="L21">
        <f t="shared" si="1"/>
        <v>0.875</v>
      </c>
      <c r="M21" t="str">
        <f>IF(G21="","",(参数配置!O21*K21+参数配置!O22*(J21-(1-EXP(-200/参数配置!O25)))/((1-EXP(-1500/参数配置!O25))-(1-EXP(-200/参数配置!O25)))+参数配置!O23*(L21/(1-2^(-5)))+参数配置!O24*K21*(J21-(1-EXP(-200/参数配置!O25)))/((1-EXP(-1500/参数配置!O25))-(1-EXP(-200/参数配置!O25))))*100)</f>
        <v/>
      </c>
      <c r="N21" t="str">
        <f t="array" ref="N21">IF(G21&gt;0,RLD_Label(G21,H21,I21),"")</f>
        <v/>
      </c>
      <c r="O21">
        <v>3</v>
      </c>
      <c r="P21" s="25" t="str">
        <f>IFERROR(INDEX(参数配置!B:B,MATCH(O21,参数配置!A:A,0)),"")</f>
        <v>阶梯上升</v>
      </c>
    </row>
    <row r="22" ht="14.25" customHeight="1" spans="1:16">
      <c r="A22" s="23" t="s">
        <v>43</v>
      </c>
      <c r="B22" s="24">
        <v>21</v>
      </c>
      <c r="C22" s="24" t="s">
        <v>25</v>
      </c>
      <c r="D22" s="24">
        <v>1</v>
      </c>
      <c r="E22" s="25" t="s">
        <v>43</v>
      </c>
      <c r="F22" s="25"/>
      <c r="G22" s="24"/>
      <c r="H22" s="25">
        <f>IF(ISBLANK('1-200关设定'!W22),"",'1-200关设定'!W22)</f>
        <v>3</v>
      </c>
      <c r="I22" s="25">
        <f>IF(ISBLANK('1-200关设定'!V22),"",'1-200关设定'!V22)</f>
        <v>1</v>
      </c>
      <c r="J22" t="str">
        <f>IF(G22="","",1-EXP(-G22/参数配置!O26))</f>
        <v/>
      </c>
      <c r="K22">
        <f t="shared" si="0"/>
        <v>0.0625</v>
      </c>
      <c r="L22">
        <f t="shared" si="1"/>
        <v>0.5</v>
      </c>
      <c r="M22" t="str">
        <f>IF(G22="","",(参数配置!O22*K22+参数配置!O23*(J22-(1-EXP(-200/参数配置!O26)))/((1-EXP(-1500/参数配置!O26))-(1-EXP(-200/参数配置!O26)))+参数配置!O24*(L22/(1-2^(-5)))+参数配置!O25*K22*(J22-(1-EXP(-200/参数配置!O26)))/((1-EXP(-1500/参数配置!O26))-(1-EXP(-200/参数配置!O26))))*100)</f>
        <v/>
      </c>
      <c r="N22" t="str">
        <f t="array" ref="N22">IF(G22&gt;0,RLD_Label(G22,H22,I22),"")</f>
        <v/>
      </c>
      <c r="O22">
        <v>1</v>
      </c>
      <c r="P22" s="25" t="str">
        <f>IFERROR(INDEX(参数配置!B:B,MATCH(O22,参数配置!A:A,0)),"")</f>
        <v>平缓推进</v>
      </c>
    </row>
    <row r="23" ht="14.25" customHeight="1" spans="1:16">
      <c r="B23" s="24">
        <v>22</v>
      </c>
      <c r="C23" s="24" t="s">
        <v>25</v>
      </c>
      <c r="D23" s="24">
        <v>0.85</v>
      </c>
      <c r="E23" s="25"/>
      <c r="F23" s="25"/>
      <c r="G23" s="24"/>
      <c r="H23" s="25">
        <f>IF(ISBLANK('1-200关设定'!W23),"",'1-200关设定'!W23)</f>
        <v>4</v>
      </c>
      <c r="I23" s="25">
        <f>IF(ISBLANK('1-200关设定'!V23),"",'1-200关设定'!V23)</f>
        <v>1</v>
      </c>
      <c r="J23" t="str">
        <f>IF(G23="","",1-EXP(-G23/参数配置!O27))</f>
        <v/>
      </c>
      <c r="K23">
        <f t="shared" si="0"/>
        <v>0.25</v>
      </c>
      <c r="L23">
        <f t="shared" si="1"/>
        <v>0.5</v>
      </c>
      <c r="M23" t="str">
        <f>IF(G23="","",(参数配置!O23*K23+参数配置!O24*(J23-(1-EXP(-200/参数配置!O27)))/((1-EXP(-1500/参数配置!O27))-(1-EXP(-200/参数配置!O27)))+参数配置!O25*(L23/(1-2^(-5)))+参数配置!O26*K23*(J23-(1-EXP(-200/参数配置!O27)))/((1-EXP(-1500/参数配置!O27))-(1-EXP(-200/参数配置!O27))))*100)</f>
        <v/>
      </c>
      <c r="N23" t="str">
        <f t="array" ref="N23">IF(G23&gt;0,RLD_Label(G23,H23,I23),"")</f>
        <v/>
      </c>
      <c r="O23">
        <v>1</v>
      </c>
      <c r="P23" s="25" t="str">
        <f>IFERROR(INDEX(参数配置!B:B,MATCH(O23,参数配置!A:A,0)),"")</f>
        <v>平缓推进</v>
      </c>
    </row>
    <row r="24" ht="14.25" customHeight="1" spans="1:16">
      <c r="B24" s="24">
        <v>23</v>
      </c>
      <c r="C24" s="24" t="s">
        <v>25</v>
      </c>
      <c r="D24" s="24">
        <v>0.85</v>
      </c>
      <c r="E24" s="25" t="s">
        <v>44</v>
      </c>
      <c r="F24" s="25"/>
      <c r="G24" s="24"/>
      <c r="H24" s="25">
        <f>IF(ISBLANK('1-200关设定'!W24),"",'1-200关设定'!W24)</f>
        <v>4</v>
      </c>
      <c r="I24" s="25">
        <f>IF(ISBLANK('1-200关设定'!V24),"",'1-200关设定'!V24)</f>
        <v>1</v>
      </c>
      <c r="J24" t="str">
        <f>IF(G24="","",1-EXP(-G24/参数配置!O28))</f>
        <v/>
      </c>
      <c r="K24">
        <f t="shared" si="0"/>
        <v>0.25</v>
      </c>
      <c r="L24">
        <f t="shared" si="1"/>
        <v>0.5</v>
      </c>
      <c r="M24" t="str">
        <f>IF(G24="","",(参数配置!O24*K24+参数配置!O25*(J24-(1-EXP(-200/参数配置!O28)))/((1-EXP(-1500/参数配置!O28))-(1-EXP(-200/参数配置!O28)))+参数配置!O26*(L24/(1-2^(-5)))+参数配置!O27*K24*(J24-(1-EXP(-200/参数配置!O28)))/((1-EXP(-1500/参数配置!O28))-(1-EXP(-200/参数配置!O28))))*100)</f>
        <v/>
      </c>
      <c r="N24" t="str">
        <f t="array" ref="N24">IF(G24&gt;0,RLD_Label(G24,H24,I24),"")</f>
        <v/>
      </c>
      <c r="O24">
        <v>2</v>
      </c>
      <c r="P24" s="25" t="str">
        <f>IFERROR(INDEX(参数配置!B:B,MATCH(O24,参数配置!A:A,0)),"")</f>
        <v>波动前进</v>
      </c>
    </row>
    <row r="25" ht="14.25" customHeight="1" spans="1:16">
      <c r="B25" s="24">
        <v>24</v>
      </c>
      <c r="C25" s="24" t="s">
        <v>32</v>
      </c>
      <c r="D25" s="24">
        <v>0.6</v>
      </c>
      <c r="E25" s="25"/>
      <c r="F25" s="25" t="s">
        <v>45</v>
      </c>
      <c r="G25" s="24"/>
      <c r="H25" s="25">
        <f>IF(ISBLANK('1-200关设定'!W25),"",'1-200关设定'!W25)</f>
        <v>5</v>
      </c>
      <c r="I25" s="25">
        <f>IF(ISBLANK('1-200关设定'!V25),"",'1-200关设定'!V25)</f>
        <v>3</v>
      </c>
      <c r="J25" t="str">
        <f>IF(G25="","",1-EXP(-G25/参数配置!O29))</f>
        <v/>
      </c>
      <c r="K25">
        <f t="shared" si="0"/>
        <v>0.5625</v>
      </c>
      <c r="L25">
        <f t="shared" si="1"/>
        <v>0.875</v>
      </c>
      <c r="M25" t="str">
        <f>IF(G25="","",(参数配置!O25*K25+参数配置!O26*(J25-(1-EXP(-200/参数配置!O29)))/((1-EXP(-1500/参数配置!O29))-(1-EXP(-200/参数配置!O29)))+参数配置!O27*(L25/(1-2^(-5)))+参数配置!O28*K25*(J25-(1-EXP(-200/参数配置!O29)))/((1-EXP(-1500/参数配置!O29))-(1-EXP(-200/参数配置!O29))))*100)</f>
        <v/>
      </c>
      <c r="N25" t="str">
        <f t="array" ref="N25">IF(G25&gt;0,RLD_Label(G25,H25,I25),"")</f>
        <v/>
      </c>
      <c r="O25">
        <v>2</v>
      </c>
      <c r="P25" s="25" t="str">
        <f>IFERROR(INDEX(参数配置!B:B,MATCH(O25,参数配置!A:A,0)),"")</f>
        <v>波动前进</v>
      </c>
    </row>
    <row r="26" ht="14.25" customHeight="1" spans="1:16">
      <c r="B26" s="24">
        <v>25</v>
      </c>
      <c r="C26" s="24" t="s">
        <v>25</v>
      </c>
      <c r="D26" s="24">
        <v>0.85</v>
      </c>
      <c r="E26" s="25"/>
      <c r="F26" s="25" t="s">
        <v>46</v>
      </c>
      <c r="G26" s="24"/>
      <c r="H26" s="25">
        <f>IF(ISBLANK('1-200关设定'!W26),"",'1-200关设定'!W26)</f>
        <v>3</v>
      </c>
      <c r="I26" s="25">
        <f>IF(ISBLANK('1-200关设定'!V26),"",'1-200关设定'!V26)</f>
        <v>2</v>
      </c>
      <c r="J26" t="str">
        <f>IF(G26="","",1-EXP(-G26/参数配置!O30))</f>
        <v/>
      </c>
      <c r="K26">
        <f t="shared" si="0"/>
        <v>0.0625</v>
      </c>
      <c r="L26">
        <f t="shared" si="1"/>
        <v>0.75</v>
      </c>
      <c r="M26" t="str">
        <f>IF(G26="","",(参数配置!O26*K26+参数配置!O27*(J26-(1-EXP(-200/参数配置!O30)))/((1-EXP(-1500/参数配置!O30))-(1-EXP(-200/参数配置!O30)))+参数配置!O28*(L26/(1-2^(-5)))+参数配置!O29*K26*(J26-(1-EXP(-200/参数配置!O30)))/((1-EXP(-1500/参数配置!O30))-(1-EXP(-200/参数配置!O30))))*100)</f>
        <v/>
      </c>
      <c r="N26" t="str">
        <f t="array" ref="N26">IF(G26&gt;0,RLD_Label(G26,H26,I26),"")</f>
        <v/>
      </c>
      <c r="O26">
        <v>1</v>
      </c>
      <c r="P26" s="25" t="str">
        <f>IFERROR(INDEX(参数配置!B:B,MATCH(O26,参数配置!A:A,0)),"")</f>
        <v>平缓推进</v>
      </c>
    </row>
    <row r="27" ht="14.25" customHeight="1" spans="1:16">
      <c r="B27" s="24">
        <v>26</v>
      </c>
      <c r="C27" s="24" t="s">
        <v>25</v>
      </c>
      <c r="D27" s="24">
        <v>0.85</v>
      </c>
      <c r="E27" s="25" t="s">
        <v>47</v>
      </c>
      <c r="F27" s="25"/>
      <c r="G27" s="24"/>
      <c r="H27" s="25">
        <f>IF(ISBLANK('1-200关设定'!W27),"",'1-200关设定'!W27)</f>
        <v>4</v>
      </c>
      <c r="I27" s="25">
        <f>IF(ISBLANK('1-200关设定'!V27),"",'1-200关设定'!V27)</f>
        <v>2</v>
      </c>
      <c r="J27" t="str">
        <f>IF(G27="","",1-EXP(-G27/参数配置!O31))</f>
        <v/>
      </c>
      <c r="K27">
        <f t="shared" si="0"/>
        <v>0.25</v>
      </c>
      <c r="L27">
        <f t="shared" si="1"/>
        <v>0.75</v>
      </c>
      <c r="M27" t="str">
        <f>IF(G27="","",(参数配置!O27*K27+参数配置!O28*(J27-(1-EXP(-200/参数配置!O31)))/((1-EXP(-1500/参数配置!O31))-(1-EXP(-200/参数配置!O31)))+参数配置!O29*(L27/(1-2^(-5)))+参数配置!O30*K27*(J27-(1-EXP(-200/参数配置!O31)))/((1-EXP(-1500/参数配置!O31))-(1-EXP(-200/参数配置!O31))))*100)</f>
        <v/>
      </c>
      <c r="N27" t="str">
        <f t="array" ref="N27">IF(G27&gt;0,RLD_Label(G27,H27,I27),"")</f>
        <v/>
      </c>
      <c r="O27">
        <v>1</v>
      </c>
      <c r="P27" s="25" t="str">
        <f>IFERROR(INDEX(参数配置!B:B,MATCH(O27,参数配置!A:A,0)),"")</f>
        <v>平缓推进</v>
      </c>
    </row>
    <row r="28" ht="14.25" customHeight="1" spans="1:16">
      <c r="B28" s="24">
        <v>27</v>
      </c>
      <c r="C28" s="24" t="s">
        <v>32</v>
      </c>
      <c r="D28" s="24">
        <v>0.6</v>
      </c>
      <c r="E28" s="25"/>
      <c r="F28" s="25"/>
      <c r="G28" s="24"/>
      <c r="H28" s="25">
        <f>IF(ISBLANK('1-200关设定'!W28),"",'1-200关设定'!W28)</f>
        <v>4</v>
      </c>
      <c r="I28" s="25">
        <f>IF(ISBLANK('1-200关设定'!V28),"",'1-200关设定'!V28)</f>
        <v>4</v>
      </c>
      <c r="J28" t="str">
        <f>IF(G28="","",1-EXP(-G28/参数配置!O32))</f>
        <v/>
      </c>
      <c r="K28">
        <f t="shared" si="0"/>
        <v>0.25</v>
      </c>
      <c r="L28">
        <f t="shared" si="1"/>
        <v>0.9375</v>
      </c>
      <c r="M28" t="str">
        <f>IF(G28="","",(参数配置!O28*K28+参数配置!O29*(J28-(1-EXP(-200/参数配置!O32)))/((1-EXP(-1500/参数配置!O32))-(1-EXP(-200/参数配置!O32)))+参数配置!O30*(L28/(1-2^(-5)))+参数配置!O31*K28*(J28-(1-EXP(-200/参数配置!O32)))/((1-EXP(-1500/参数配置!O32))-(1-EXP(-200/参数配置!O32))))*100)</f>
        <v/>
      </c>
      <c r="N28" t="str">
        <f t="array" ref="N28">IF(G28&gt;0,RLD_Label(G28,H28,I28),"")</f>
        <v/>
      </c>
      <c r="O28">
        <v>2</v>
      </c>
      <c r="P28" s="25" t="str">
        <f>IFERROR(INDEX(参数配置!B:B,MATCH(O28,参数配置!A:A,0)),"")</f>
        <v>波动前进</v>
      </c>
    </row>
    <row r="29" ht="14.25" customHeight="1" spans="1:16">
      <c r="B29" s="24">
        <v>28</v>
      </c>
      <c r="C29" s="24" t="s">
        <v>25</v>
      </c>
      <c r="D29" s="24">
        <v>0.85</v>
      </c>
      <c r="E29" s="25"/>
      <c r="F29" s="25"/>
      <c r="G29" s="24"/>
      <c r="H29" s="25">
        <f>IF(ISBLANK('1-200关设定'!W29),"",'1-200关设定'!W29)</f>
        <v>3</v>
      </c>
      <c r="I29" s="25">
        <f>IF(ISBLANK('1-200关设定'!V29),"",'1-200关设定'!V29)</f>
        <v>2</v>
      </c>
      <c r="J29" t="str">
        <f>IF(G29="","",1-EXP(-G29/参数配置!O33))</f>
        <v/>
      </c>
      <c r="K29">
        <f t="shared" si="0"/>
        <v>0.0625</v>
      </c>
      <c r="L29">
        <f t="shared" si="1"/>
        <v>0.75</v>
      </c>
      <c r="M29" t="str">
        <f>IF(G29="","",(参数配置!O29*K29+参数配置!O30*(J29-(1-EXP(-200/参数配置!O33)))/((1-EXP(-1500/参数配置!O33))-(1-EXP(-200/参数配置!O33)))+参数配置!O31*(L29/(1-2^(-5)))+参数配置!O32*K29*(J29-(1-EXP(-200/参数配置!O33)))/((1-EXP(-1500/参数配置!O33))-(1-EXP(-200/参数配置!O33))))*100)</f>
        <v/>
      </c>
      <c r="N29" t="str">
        <f t="array" ref="N29">IF(G29&gt;0,RLD_Label(G29,H29,I29),"")</f>
        <v/>
      </c>
      <c r="O29">
        <v>1</v>
      </c>
      <c r="P29" s="25" t="str">
        <f>IFERROR(INDEX(参数配置!B:B,MATCH(O29,参数配置!A:A,0)),"")</f>
        <v>平缓推进</v>
      </c>
    </row>
    <row r="30" ht="14.25" customHeight="1" spans="1:16">
      <c r="B30" s="24">
        <v>29</v>
      </c>
      <c r="C30" s="24" t="s">
        <v>25</v>
      </c>
      <c r="D30" s="24">
        <v>0.85</v>
      </c>
      <c r="E30" s="25"/>
      <c r="F30" s="25"/>
      <c r="G30" s="24"/>
      <c r="H30" s="25">
        <f>IF(ISBLANK('1-200关设定'!W30),"",'1-200关设定'!W30)</f>
        <v>4</v>
      </c>
      <c r="I30" s="25">
        <f>IF(ISBLANK('1-200关设定'!V30),"",'1-200关设定'!V30)</f>
        <v>2</v>
      </c>
      <c r="J30" t="str">
        <f>IF(G30="","",1-EXP(-G30/参数配置!O34))</f>
        <v/>
      </c>
      <c r="K30">
        <f t="shared" si="0"/>
        <v>0.25</v>
      </c>
      <c r="L30">
        <f t="shared" si="1"/>
        <v>0.75</v>
      </c>
      <c r="M30" t="str">
        <f>IF(G30="","",(参数配置!O30*K30+参数配置!O31*(J30-(1-EXP(-200/参数配置!O34)))/((1-EXP(-1500/参数配置!O34))-(1-EXP(-200/参数配置!O34)))+参数配置!O32*(L30/(1-2^(-5)))+参数配置!O33*K30*(J30-(1-EXP(-200/参数配置!O34)))/((1-EXP(-1500/参数配置!O34))-(1-EXP(-200/参数配置!O34))))*100)</f>
        <v/>
      </c>
      <c r="N30" t="str">
        <f t="array" ref="N30">IF(G30&gt;0,RLD_Label(G30,H30,I30),"")</f>
        <v/>
      </c>
      <c r="O30">
        <v>1</v>
      </c>
      <c r="P30" s="25" t="str">
        <f>IFERROR(INDEX(参数配置!B:B,MATCH(O30,参数配置!A:A,0)),"")</f>
        <v>平缓推进</v>
      </c>
    </row>
    <row r="31" ht="14.25" customHeight="1" spans="1:16">
      <c r="B31" s="24">
        <v>30</v>
      </c>
      <c r="C31" s="24" t="s">
        <v>41</v>
      </c>
      <c r="D31" s="24">
        <v>0.4</v>
      </c>
      <c r="E31" s="25"/>
      <c r="F31" s="25"/>
      <c r="G31" s="24"/>
      <c r="H31" s="25">
        <f>IF(ISBLANK('1-200关设定'!W31),"",'1-200关设定'!W31)</f>
        <v>4</v>
      </c>
      <c r="I31" s="25">
        <f>IF(ISBLANK('1-200关设定'!V31),"",'1-200关设定'!V31)</f>
        <v>2</v>
      </c>
      <c r="J31" t="str">
        <f>IF(G31="","",1-EXP(-G31/参数配置!O35))</f>
        <v/>
      </c>
      <c r="K31">
        <f t="shared" si="0"/>
        <v>0.25</v>
      </c>
      <c r="L31">
        <f t="shared" si="1"/>
        <v>0.75</v>
      </c>
      <c r="M31" t="str">
        <f>IF(G31="","",(参数配置!O31*K31+参数配置!O32*(J31-(1-EXP(-200/参数配置!O35)))/((1-EXP(-1500/参数配置!O35))-(1-EXP(-200/参数配置!O35)))+参数配置!O33*(L31/(1-2^(-5)))+参数配置!O34*K31*(J31-(1-EXP(-200/参数配置!O35)))/((1-EXP(-1500/参数配置!O35))-(1-EXP(-200/参数配置!O35))))*100)</f>
        <v/>
      </c>
      <c r="N31" t="str">
        <f t="array" ref="N31">IF(G31&gt;0,RLD_Label(G31,H31,I31),"")</f>
        <v/>
      </c>
      <c r="O31">
        <v>3</v>
      </c>
      <c r="P31" s="25" t="str">
        <f>IFERROR(INDEX(参数配置!B:B,MATCH(O31,参数配置!A:A,0)),"")</f>
        <v>阶梯上升</v>
      </c>
    </row>
    <row r="32" ht="14.25" customHeight="1" spans="1:16">
      <c r="A32" s="23"/>
      <c r="B32" s="24">
        <v>31</v>
      </c>
      <c r="C32" s="24" t="s">
        <v>25</v>
      </c>
      <c r="D32" s="24">
        <v>0.85</v>
      </c>
      <c r="E32" s="25"/>
      <c r="F32" s="25"/>
      <c r="G32" s="24"/>
      <c r="H32" s="25">
        <f>IF(ISBLANK('1-200关设定'!W32),"",'1-200关设定'!W32)</f>
        <v>4</v>
      </c>
      <c r="I32" s="25">
        <f>IF(ISBLANK('1-200关设定'!V32),"",'1-200关设定'!V32)</f>
        <v>2</v>
      </c>
      <c r="J32" t="str">
        <f>IF(G32="","",1-EXP(-G32/参数配置!O36))</f>
        <v/>
      </c>
      <c r="K32">
        <f t="shared" si="0"/>
        <v>0.25</v>
      </c>
      <c r="L32">
        <f t="shared" si="1"/>
        <v>0.75</v>
      </c>
      <c r="M32" t="str">
        <f>IF(G32="","",(参数配置!O32*K32+参数配置!O33*(J32-(1-EXP(-200/参数配置!O36)))/((1-EXP(-1500/参数配置!O36))-(1-EXP(-200/参数配置!O36)))+参数配置!O34*(L32/(1-2^(-5)))+参数配置!O35*K32*(J32-(1-EXP(-200/参数配置!O36)))/((1-EXP(-1500/参数配置!O36))-(1-EXP(-200/参数配置!O36))))*100)</f>
        <v/>
      </c>
      <c r="N32" t="str">
        <f t="array" ref="N32">IF(G32&gt;0,RLD_Label(G32,H32,I32),"")</f>
        <v/>
      </c>
      <c r="O32">
        <v>1</v>
      </c>
      <c r="P32" s="25" t="str">
        <f>IFERROR(INDEX(参数配置!B:B,MATCH(O32,参数配置!A:A,0)),"")</f>
        <v>平缓推进</v>
      </c>
    </row>
    <row r="33" ht="14.25" customHeight="1" spans="1:16">
      <c r="B33" s="24">
        <v>32</v>
      </c>
      <c r="C33" s="24" t="s">
        <v>25</v>
      </c>
      <c r="D33" s="24">
        <v>0.85</v>
      </c>
      <c r="E33" s="25"/>
      <c r="F33" s="25"/>
      <c r="G33" s="24"/>
      <c r="H33" s="25">
        <f>IF(ISBLANK('1-200关设定'!W33),"",'1-200关设定'!W33)</f>
        <v>3</v>
      </c>
      <c r="I33" s="25">
        <f>IF(ISBLANK('1-200关设定'!V33),"",'1-200关设定'!V33)</f>
        <v>1</v>
      </c>
      <c r="J33" t="str">
        <f>IF(G33="","",1-EXP(-G33/参数配置!O37))</f>
        <v/>
      </c>
      <c r="K33">
        <f t="shared" si="0"/>
        <v>0.0625</v>
      </c>
      <c r="L33">
        <f t="shared" si="1"/>
        <v>0.5</v>
      </c>
      <c r="M33" t="str">
        <f>IF(G33="","",(参数配置!O33*K33+参数配置!O34*(J33-(1-EXP(-200/参数配置!O37)))/((1-EXP(-1500/参数配置!O37))-(1-EXP(-200/参数配置!O37)))+参数配置!O35*(L33/(1-2^(-5)))+参数配置!O36*K33*(J33-(1-EXP(-200/参数配置!O37)))/((1-EXP(-1500/参数配置!O37))-(1-EXP(-200/参数配置!O37))))*100)</f>
        <v/>
      </c>
      <c r="N33" t="str">
        <f t="array" ref="N33">IF(G33&gt;0,RLD_Label(G33,H33,I33),"")</f>
        <v/>
      </c>
      <c r="O33">
        <v>1</v>
      </c>
      <c r="P33" s="25" t="str">
        <f>IFERROR(INDEX(参数配置!B:B,MATCH(O33,参数配置!A:A,0)),"")</f>
        <v>平缓推进</v>
      </c>
    </row>
    <row r="34" ht="14.25" customHeight="1" spans="1:16">
      <c r="B34" s="24">
        <v>33</v>
      </c>
      <c r="C34" s="24" t="s">
        <v>25</v>
      </c>
      <c r="D34" s="24">
        <v>0.85</v>
      </c>
      <c r="E34" s="25"/>
      <c r="F34" s="25"/>
      <c r="G34" s="24"/>
      <c r="H34" s="25">
        <f>IF(ISBLANK('1-200关设定'!W34),"",'1-200关设定'!W34)</f>
        <v>4</v>
      </c>
      <c r="I34" s="25">
        <f>IF(ISBLANK('1-200关设定'!V34),"",'1-200关设定'!V34)</f>
        <v>2</v>
      </c>
      <c r="J34" t="str">
        <f>IF(G34="","",1-EXP(-G34/参数配置!O38))</f>
        <v/>
      </c>
      <c r="K34">
        <f t="shared" si="0"/>
        <v>0.25</v>
      </c>
      <c r="L34">
        <f t="shared" si="1"/>
        <v>0.75</v>
      </c>
      <c r="M34" t="str">
        <f>IF(G34="","",(参数配置!O34*K34+参数配置!O35*(J34-(1-EXP(-200/参数配置!O38)))/((1-EXP(-1500/参数配置!O38))-(1-EXP(-200/参数配置!O38)))+参数配置!O36*(L34/(1-2^(-5)))+参数配置!O37*K34*(J34-(1-EXP(-200/参数配置!O38)))/((1-EXP(-1500/参数配置!O38))-(1-EXP(-200/参数配置!O38))))*100)</f>
        <v/>
      </c>
      <c r="N34" t="str">
        <f t="array" ref="N34">IF(G34&gt;0,RLD_Label(G34,H34,I34),"")</f>
        <v/>
      </c>
      <c r="O34">
        <v>2</v>
      </c>
      <c r="P34" s="25" t="str">
        <f>IFERROR(INDEX(参数配置!B:B,MATCH(O34,参数配置!A:A,0)),"")</f>
        <v>波动前进</v>
      </c>
    </row>
    <row r="35" ht="14.25" customHeight="1" spans="1:16">
      <c r="B35" s="24">
        <v>34</v>
      </c>
      <c r="C35" s="24" t="s">
        <v>25</v>
      </c>
      <c r="D35" s="24">
        <v>0.85</v>
      </c>
      <c r="E35" s="25" t="s">
        <v>48</v>
      </c>
      <c r="F35" s="25"/>
      <c r="G35" s="24"/>
      <c r="H35" s="25">
        <f>IF(ISBLANK('1-200关设定'!W35),"",'1-200关设定'!W35)</f>
        <v>3</v>
      </c>
      <c r="I35" s="25">
        <f>IF(ISBLANK('1-200关设定'!V35),"",'1-200关设定'!V35)</f>
        <v>1</v>
      </c>
      <c r="J35" t="str">
        <f>IF(G35="","",1-EXP(-G35/参数配置!O39))</f>
        <v/>
      </c>
      <c r="K35">
        <f t="shared" si="0"/>
        <v>0.0625</v>
      </c>
      <c r="L35">
        <f t="shared" si="1"/>
        <v>0.5</v>
      </c>
      <c r="M35" t="str">
        <f>IF(G35="","",(参数配置!O35*K35+参数配置!O36*(J35-(1-EXP(-200/参数配置!O39)))/((1-EXP(-1500/参数配置!O39))-(1-EXP(-200/参数配置!O39)))+参数配置!O37*(L35/(1-2^(-5)))+参数配置!O38*K35*(J35-(1-EXP(-200/参数配置!O39)))/((1-EXP(-1500/参数配置!O39))-(1-EXP(-200/参数配置!O39))))*100)</f>
        <v/>
      </c>
      <c r="N35" t="str">
        <f t="array" ref="N35">IF(G35&gt;0,RLD_Label(G35,H35,I35),"")</f>
        <v/>
      </c>
      <c r="O35">
        <v>1</v>
      </c>
      <c r="P35" s="25" t="str">
        <f>IFERROR(INDEX(参数配置!B:B,MATCH(O35,参数配置!A:A,0)),"")</f>
        <v>平缓推进</v>
      </c>
    </row>
    <row r="36" ht="14.25" customHeight="1" spans="1:16">
      <c r="B36" s="24">
        <v>35</v>
      </c>
      <c r="C36" s="24" t="s">
        <v>25</v>
      </c>
      <c r="D36" s="24">
        <v>0.85</v>
      </c>
      <c r="E36" s="25"/>
      <c r="F36" s="25" t="s">
        <v>49</v>
      </c>
      <c r="G36" s="24"/>
      <c r="H36" s="25">
        <f>IF(ISBLANK('1-200关设定'!W36),"",'1-200关设定'!W36)</f>
        <v>4</v>
      </c>
      <c r="I36" s="25">
        <f>IF(ISBLANK('1-200关设定'!V36),"",'1-200关设定'!V36)</f>
        <v>2</v>
      </c>
      <c r="J36" t="str">
        <f>IF(G36="","",1-EXP(-G36/参数配置!O40))</f>
        <v/>
      </c>
      <c r="K36">
        <f t="shared" si="0"/>
        <v>0.25</v>
      </c>
      <c r="L36">
        <f t="shared" si="1"/>
        <v>0.75</v>
      </c>
      <c r="M36" t="str">
        <f>IF(G36="","",(参数配置!O36*K36+参数配置!O37*(J36-(1-EXP(-200/参数配置!O40)))/((1-EXP(-1500/参数配置!O40))-(1-EXP(-200/参数配置!O40)))+参数配置!O38*(L36/(1-2^(-5)))+参数配置!O39*K36*(J36-(1-EXP(-200/参数配置!O40)))/((1-EXP(-1500/参数配置!O40))-(1-EXP(-200/参数配置!O40))))*100)</f>
        <v/>
      </c>
      <c r="N36" t="str">
        <f t="array" ref="N36">IF(G36&gt;0,RLD_Label(G36,H36,I36),"")</f>
        <v/>
      </c>
      <c r="O36">
        <v>1</v>
      </c>
      <c r="P36" s="25" t="str">
        <f>IFERROR(INDEX(参数配置!B:B,MATCH(O36,参数配置!A:A,0)),"")</f>
        <v>平缓推进</v>
      </c>
    </row>
    <row r="37" ht="14.25" customHeight="1" spans="1:16">
      <c r="B37" s="24">
        <v>36</v>
      </c>
      <c r="C37" s="24" t="s">
        <v>25</v>
      </c>
      <c r="D37" s="24">
        <v>0.85</v>
      </c>
      <c r="E37" s="25"/>
      <c r="F37" s="25"/>
      <c r="G37" s="24"/>
      <c r="H37" s="25">
        <f>IF(ISBLANK('1-200关设定'!W37),"",'1-200关设定'!W37)</f>
        <v>3</v>
      </c>
      <c r="I37" s="25">
        <f>IF(ISBLANK('1-200关设定'!V37),"",'1-200关设定'!V37)</f>
        <v>2</v>
      </c>
      <c r="J37" t="str">
        <f>IF(G37="","",1-EXP(-G37/参数配置!O41))</f>
        <v/>
      </c>
      <c r="K37">
        <f t="shared" si="0"/>
        <v>0.0625</v>
      </c>
      <c r="L37">
        <f t="shared" si="1"/>
        <v>0.75</v>
      </c>
      <c r="M37" t="str">
        <f>IF(G37="","",(参数配置!O37*K37+参数配置!O38*(J37-(1-EXP(-200/参数配置!O41)))/((1-EXP(-1500/参数配置!O41))-(1-EXP(-200/参数配置!O41)))+参数配置!O39*(L37/(1-2^(-5)))+参数配置!O40*K37*(J37-(1-EXP(-200/参数配置!O41)))/((1-EXP(-1500/参数配置!O41))-(1-EXP(-200/参数配置!O41))))*100)</f>
        <v/>
      </c>
      <c r="N37" t="str">
        <f t="array" ref="N37">IF(G37&gt;0,RLD_Label(G37,H37,I37),"")</f>
        <v/>
      </c>
      <c r="O37">
        <v>2</v>
      </c>
      <c r="P37" s="25" t="str">
        <f>IFERROR(INDEX(参数配置!B:B,MATCH(O37,参数配置!A:A,0)),"")</f>
        <v>波动前进</v>
      </c>
    </row>
    <row r="38" ht="14.25" customHeight="1" spans="1:16">
      <c r="B38" s="24">
        <v>37</v>
      </c>
      <c r="C38" s="24" t="s">
        <v>25</v>
      </c>
      <c r="D38" s="24">
        <v>0.85</v>
      </c>
      <c r="E38" s="25"/>
      <c r="F38" s="25"/>
      <c r="G38" s="24"/>
      <c r="H38" s="25">
        <f>IF(ISBLANK('1-200关设定'!W38),"",'1-200关设定'!W38)</f>
        <v>4</v>
      </c>
      <c r="I38" s="25">
        <f>IF(ISBLANK('1-200关设定'!V38),"",'1-200关设定'!V38)</f>
        <v>2</v>
      </c>
      <c r="J38" t="str">
        <f>IF(G38="","",1-EXP(-G38/参数配置!O42))</f>
        <v/>
      </c>
      <c r="K38">
        <f t="shared" si="0"/>
        <v>0.25</v>
      </c>
      <c r="L38">
        <f t="shared" si="1"/>
        <v>0.75</v>
      </c>
      <c r="M38" t="str">
        <f>IF(G38="","",(参数配置!O38*K38+参数配置!O39*(J38-(1-EXP(-200/参数配置!O42)))/((1-EXP(-1500/参数配置!O42))-(1-EXP(-200/参数配置!O42)))+参数配置!O40*(L38/(1-2^(-5)))+参数配置!O41*K38*(J38-(1-EXP(-200/参数配置!O42)))/((1-EXP(-1500/参数配置!O42))-(1-EXP(-200/参数配置!O42))))*100)</f>
        <v/>
      </c>
      <c r="N38" t="str">
        <f t="array" ref="N38">IF(G38&gt;0,RLD_Label(G38,H38,I38),"")</f>
        <v/>
      </c>
      <c r="O38">
        <v>1</v>
      </c>
      <c r="P38" s="25" t="str">
        <f>IFERROR(INDEX(参数配置!B:B,MATCH(O38,参数配置!A:A,0)),"")</f>
        <v>平缓推进</v>
      </c>
    </row>
    <row r="39" ht="14.25" customHeight="1" spans="1:16">
      <c r="B39" s="24">
        <v>38</v>
      </c>
      <c r="C39" s="24" t="s">
        <v>32</v>
      </c>
      <c r="D39" s="24">
        <v>0.6</v>
      </c>
      <c r="E39" s="25"/>
      <c r="F39" s="25"/>
      <c r="G39" s="24"/>
      <c r="H39" s="25">
        <f>IF(ISBLANK('1-200关设定'!W39),"",'1-200关设定'!W39)</f>
        <v>4</v>
      </c>
      <c r="I39" s="25">
        <f>IF(ISBLANK('1-200关设定'!V39),"",'1-200关设定'!V39)</f>
        <v>3</v>
      </c>
      <c r="J39" t="str">
        <f>IF(G39="","",1-EXP(-G39/参数配置!O43))</f>
        <v/>
      </c>
      <c r="K39">
        <f t="shared" si="0"/>
        <v>0.25</v>
      </c>
      <c r="L39">
        <f t="shared" si="1"/>
        <v>0.875</v>
      </c>
      <c r="M39" t="str">
        <f>IF(G39="","",(参数配置!O39*K39+参数配置!O40*(J39-(1-EXP(-200/参数配置!O43)))/((1-EXP(-1500/参数配置!O43))-(1-EXP(-200/参数配置!O43)))+参数配置!O41*(L39/(1-2^(-5)))+参数配置!O42*K39*(J39-(1-EXP(-200/参数配置!O43)))/((1-EXP(-1500/参数配置!O43))-(1-EXP(-200/参数配置!O43))))*100)</f>
        <v/>
      </c>
      <c r="N39" t="str">
        <f t="array" ref="N39">IF(G39&gt;0,RLD_Label(G39,H39,I39),"")</f>
        <v/>
      </c>
      <c r="O39">
        <v>1</v>
      </c>
      <c r="P39" s="25" t="str">
        <f>IFERROR(INDEX(参数配置!B:B,MATCH(O39,参数配置!A:A,0)),"")</f>
        <v>平缓推进</v>
      </c>
    </row>
    <row r="40" ht="14.25" customHeight="1" spans="1:16">
      <c r="B40" s="24">
        <v>39</v>
      </c>
      <c r="C40" s="24" t="s">
        <v>25</v>
      </c>
      <c r="D40" s="24">
        <v>0.85</v>
      </c>
      <c r="E40" s="25"/>
      <c r="F40" s="25"/>
      <c r="G40" s="24"/>
      <c r="H40" s="25">
        <f>IF(ISBLANK('1-200关设定'!W40),"",'1-200关设定'!W40)</f>
        <v>4</v>
      </c>
      <c r="I40" s="25">
        <f>IF(ISBLANK('1-200关设定'!V40),"",'1-200关设定'!V40)</f>
        <v>2</v>
      </c>
      <c r="J40" t="str">
        <f>IF(G40="","",1-EXP(-G40/参数配置!O44))</f>
        <v/>
      </c>
      <c r="K40">
        <f t="shared" si="0"/>
        <v>0.25</v>
      </c>
      <c r="L40">
        <f t="shared" si="1"/>
        <v>0.75</v>
      </c>
      <c r="M40" t="str">
        <f>IF(G40="","",(参数配置!O40*K40+参数配置!O41*(J40-(1-EXP(-200/参数配置!O44)))/((1-EXP(-1500/参数配置!O44))-(1-EXP(-200/参数配置!O44)))+参数配置!O42*(L40/(1-2^(-5)))+参数配置!O43*K40*(J40-(1-EXP(-200/参数配置!O44)))/((1-EXP(-1500/参数配置!O44))-(1-EXP(-200/参数配置!O44))))*100)</f>
        <v/>
      </c>
      <c r="N40" t="str">
        <f t="array" ref="N40">IF(G40&gt;0,RLD_Label(G40,H40,I40),"")</f>
        <v/>
      </c>
      <c r="O40">
        <v>2</v>
      </c>
      <c r="P40" s="25" t="str">
        <f>IFERROR(INDEX(参数配置!B:B,MATCH(O40,参数配置!A:A,0)),"")</f>
        <v>波动前进</v>
      </c>
    </row>
    <row r="41" ht="14.25" customHeight="1" spans="1:16">
      <c r="B41" s="24">
        <v>40</v>
      </c>
      <c r="C41" s="24" t="s">
        <v>25</v>
      </c>
      <c r="D41" s="24">
        <v>0.85</v>
      </c>
      <c r="E41" s="25"/>
      <c r="F41" s="25"/>
      <c r="G41" s="24"/>
      <c r="H41" s="25">
        <f>IF(ISBLANK('1-200关设定'!W41),"",'1-200关设定'!W41)</f>
        <v>4</v>
      </c>
      <c r="I41" s="25">
        <f>IF(ISBLANK('1-200关设定'!V41),"",'1-200关设定'!V41)</f>
        <v>2</v>
      </c>
      <c r="J41" t="str">
        <f>IF(G41="","",1-EXP(-G41/参数配置!O45))</f>
        <v/>
      </c>
      <c r="K41">
        <f t="shared" si="0"/>
        <v>0.25</v>
      </c>
      <c r="L41">
        <f t="shared" si="1"/>
        <v>0.75</v>
      </c>
      <c r="M41" t="str">
        <f>IF(G41="","",(参数配置!O41*K41+参数配置!O42*(J41-(1-EXP(-200/参数配置!O45)))/((1-EXP(-1500/参数配置!O45))-(1-EXP(-200/参数配置!O45)))+参数配置!O43*(L41/(1-2^(-5)))+参数配置!O44*K41*(J41-(1-EXP(-200/参数配置!O45)))/((1-EXP(-1500/参数配置!O45))-(1-EXP(-200/参数配置!O45))))*100)</f>
        <v/>
      </c>
      <c r="N41" t="str">
        <f t="array" ref="N41">IF(G41&gt;0,RLD_Label(G41,H41,I41),"")</f>
        <v/>
      </c>
      <c r="O41">
        <v>3</v>
      </c>
      <c r="P41" s="25" t="str">
        <f>IFERROR(INDEX(参数配置!B:B,MATCH(O41,参数配置!A:A,0)),"")</f>
        <v>阶梯上升</v>
      </c>
    </row>
    <row r="42" ht="14.25" customHeight="1" spans="1:16">
      <c r="A42" s="23"/>
      <c r="B42" s="24">
        <v>41</v>
      </c>
      <c r="C42" s="24" t="s">
        <v>25</v>
      </c>
      <c r="D42" s="24">
        <v>0.85</v>
      </c>
      <c r="E42" s="25"/>
      <c r="F42" s="25"/>
      <c r="G42" s="24"/>
      <c r="H42" s="25">
        <f>IF(ISBLANK('1-200关设定'!W42),"",'1-200关设定'!W42)</f>
        <v>5</v>
      </c>
      <c r="I42" s="25">
        <f>IF(ISBLANK('1-200关设定'!V42),"",'1-200关设定'!V42)</f>
        <v>3</v>
      </c>
      <c r="J42" t="str">
        <f>IF(G42="","",1-EXP(-G42/参数配置!O46))</f>
        <v/>
      </c>
      <c r="K42">
        <f t="shared" si="0"/>
        <v>0.5625</v>
      </c>
      <c r="L42">
        <f t="shared" si="1"/>
        <v>0.875</v>
      </c>
      <c r="M42" t="str">
        <f>IF(G42="","",(参数配置!O42*K42+参数配置!O43*(J42-(1-EXP(-200/参数配置!O46)))/((1-EXP(-1500/参数配置!O46))-(1-EXP(-200/参数配置!O46)))+参数配置!O44*(L42/(1-2^(-5)))+参数配置!O45*K42*(J42-(1-EXP(-200/参数配置!O46)))/((1-EXP(-1500/参数配置!O46))-(1-EXP(-200/参数配置!O46))))*100)</f>
        <v/>
      </c>
      <c r="N42" t="str">
        <f t="array" ref="N42">IF(G42&gt;0,RLD_Label(G42,H42,I42),"")</f>
        <v/>
      </c>
      <c r="O42">
        <v>2</v>
      </c>
      <c r="P42" s="25" t="str">
        <f>IFERROR(INDEX(参数配置!B:B,MATCH(O42,参数配置!A:A,0)),"")</f>
        <v>波动前进</v>
      </c>
    </row>
    <row r="43" ht="14.25" customHeight="1" spans="1:16">
      <c r="B43" s="24">
        <v>42</v>
      </c>
      <c r="C43" s="24" t="s">
        <v>32</v>
      </c>
      <c r="D43" s="24">
        <v>0.6</v>
      </c>
      <c r="E43" s="25"/>
      <c r="F43" s="25"/>
      <c r="G43" s="24"/>
      <c r="H43" s="25">
        <f>IF(ISBLANK('1-200关设定'!W43),"",'1-200关设定'!W43)</f>
        <v>5</v>
      </c>
      <c r="I43" s="25">
        <f>IF(ISBLANK('1-200关设定'!V43),"",'1-200关设定'!V43)</f>
        <v>3</v>
      </c>
      <c r="J43" t="str">
        <f>IF(G43="","",1-EXP(-G43/参数配置!O47))</f>
        <v/>
      </c>
      <c r="K43">
        <f t="shared" si="0"/>
        <v>0.5625</v>
      </c>
      <c r="L43">
        <f t="shared" si="1"/>
        <v>0.875</v>
      </c>
      <c r="M43" t="str">
        <f>IF(G43="","",(参数配置!O43*K43+参数配置!O44*(J43-(1-EXP(-200/参数配置!O47)))/((1-EXP(-1500/参数配置!O47))-(1-EXP(-200/参数配置!O47)))+参数配置!O45*(L43/(1-2^(-5)))+参数配置!O46*K43*(J43-(1-EXP(-200/参数配置!O47)))/((1-EXP(-1500/参数配置!O47))-(1-EXP(-200/参数配置!O47))))*100)</f>
        <v/>
      </c>
      <c r="N43" t="str">
        <f t="array" ref="N43">IF(G43&gt;0,RLD_Label(G43,H43,I43),"")</f>
        <v/>
      </c>
      <c r="O43">
        <v>2</v>
      </c>
      <c r="P43" s="25" t="str">
        <f>IFERROR(INDEX(参数配置!B:B,MATCH(O43,参数配置!A:A,0)),"")</f>
        <v>波动前进</v>
      </c>
    </row>
    <row r="44" ht="14.25" customHeight="1" spans="1:16">
      <c r="B44" s="24">
        <v>43</v>
      </c>
      <c r="C44" s="24" t="s">
        <v>25</v>
      </c>
      <c r="D44" s="24">
        <v>0.85</v>
      </c>
      <c r="E44" s="25"/>
      <c r="F44" s="25"/>
      <c r="G44" s="24"/>
      <c r="H44" s="25">
        <f>IF(ISBLANK('1-200关设定'!W44),"",'1-200关设定'!W44)</f>
        <v>4</v>
      </c>
      <c r="I44" s="25">
        <f>IF(ISBLANK('1-200关设定'!V44),"",'1-200关设定'!V44)</f>
        <v>3</v>
      </c>
      <c r="J44" t="str">
        <f>IF(G44="","",1-EXP(-G44/参数配置!O48))</f>
        <v/>
      </c>
      <c r="K44">
        <f t="shared" si="0"/>
        <v>0.25</v>
      </c>
      <c r="L44">
        <f t="shared" si="1"/>
        <v>0.875</v>
      </c>
      <c r="M44" t="str">
        <f>IF(G44="","",(参数配置!O44*K44+参数配置!O45*(J44-(1-EXP(-200/参数配置!O48)))/((1-EXP(-1500/参数配置!O48))-(1-EXP(-200/参数配置!O48)))+参数配置!O46*(L44/(1-2^(-5)))+参数配置!O47*K44*(J44-(1-EXP(-200/参数配置!O48)))/((1-EXP(-1500/参数配置!O48))-(1-EXP(-200/参数配置!O48))))*100)</f>
        <v/>
      </c>
      <c r="N44" t="str">
        <f t="array" ref="N44">IF(G44&gt;0,RLD_Label(G44,H44,I44),"")</f>
        <v/>
      </c>
      <c r="O44">
        <v>3</v>
      </c>
      <c r="P44" s="25" t="str">
        <f>IFERROR(INDEX(参数配置!B:B,MATCH(O44,参数配置!A:A,0)),"")</f>
        <v>阶梯上升</v>
      </c>
    </row>
    <row r="45" ht="14.25" customHeight="1" spans="1:16">
      <c r="B45" s="24">
        <v>44</v>
      </c>
      <c r="C45" s="24" t="s">
        <v>25</v>
      </c>
      <c r="D45" s="24">
        <v>0.85</v>
      </c>
      <c r="E45" s="25"/>
      <c r="F45" s="25"/>
      <c r="G45" s="24"/>
      <c r="H45" s="25">
        <f>IF(ISBLANK('1-200关设定'!W45),"",'1-200关设定'!W45)</f>
        <v>4</v>
      </c>
      <c r="I45" s="25">
        <f>IF(ISBLANK('1-200关设定'!V45),"",'1-200关设定'!V45)</f>
        <v>3</v>
      </c>
      <c r="J45" t="str">
        <f>IF(G45="","",1-EXP(-G45/参数配置!O49))</f>
        <v/>
      </c>
      <c r="K45">
        <f t="shared" si="0"/>
        <v>0.25</v>
      </c>
      <c r="L45">
        <f t="shared" si="1"/>
        <v>0.875</v>
      </c>
      <c r="M45" t="str">
        <f>IF(G45="","",(参数配置!O45*K45+参数配置!O46*(J45-(1-EXP(-200/参数配置!O49)))/((1-EXP(-1500/参数配置!O49))-(1-EXP(-200/参数配置!O49)))+参数配置!O47*(L45/(1-2^(-5)))+参数配置!O48*K45*(J45-(1-EXP(-200/参数配置!O49)))/((1-EXP(-1500/参数配置!O49))-(1-EXP(-200/参数配置!O49))))*100)</f>
        <v/>
      </c>
      <c r="N45" t="str">
        <f t="array" ref="N45">IF(G45&gt;0,RLD_Label(G45,H45,I45),"")</f>
        <v/>
      </c>
      <c r="O45">
        <v>3</v>
      </c>
      <c r="P45" s="25" t="str">
        <f>IFERROR(INDEX(参数配置!B:B,MATCH(O45,参数配置!A:A,0)),"")</f>
        <v>阶梯上升</v>
      </c>
    </row>
    <row r="46" ht="14.25" customHeight="1" spans="1:16">
      <c r="B46" s="24">
        <v>45</v>
      </c>
      <c r="C46" s="24" t="s">
        <v>25</v>
      </c>
      <c r="D46" s="24">
        <v>0.85</v>
      </c>
      <c r="E46" s="25"/>
      <c r="F46" s="25" t="s">
        <v>50</v>
      </c>
      <c r="G46" s="24"/>
      <c r="H46" s="25">
        <f>IF(ISBLANK('1-200关设定'!W46),"",'1-200关设定'!W46)</f>
        <v>4</v>
      </c>
      <c r="I46" s="25">
        <f>IF(ISBLANK('1-200关设定'!V46),"",'1-200关设定'!V46)</f>
        <v>3</v>
      </c>
      <c r="J46" t="str">
        <f>IF(G46="","",1-EXP(-G46/参数配置!O50))</f>
        <v/>
      </c>
      <c r="K46">
        <f t="shared" si="0"/>
        <v>0.25</v>
      </c>
      <c r="L46">
        <f t="shared" si="1"/>
        <v>0.875</v>
      </c>
      <c r="M46" t="str">
        <f>IF(G46="","",(参数配置!O46*K46+参数配置!O47*(J46-(1-EXP(-200/参数配置!O50)))/((1-EXP(-1500/参数配置!O50))-(1-EXP(-200/参数配置!O50)))+参数配置!O48*(L46/(1-2^(-5)))+参数配置!O49*K46*(J46-(1-EXP(-200/参数配置!O50)))/((1-EXP(-1500/参数配置!O50))-(1-EXP(-200/参数配置!O50))))*100)</f>
        <v/>
      </c>
      <c r="N46" t="str">
        <f t="array" ref="N46">IF(G46&gt;0,RLD_Label(G46,H46,I46),"")</f>
        <v/>
      </c>
      <c r="O46">
        <v>4</v>
      </c>
      <c r="P46" s="25" t="str">
        <f>IFERROR(INDEX(参数配置!B:B,MATCH(O46,参数配置!A:A,0)),"")</f>
        <v>双峰值</v>
      </c>
    </row>
    <row r="47" ht="14.25" customHeight="1" spans="1:16">
      <c r="B47" s="24">
        <v>46</v>
      </c>
      <c r="C47" s="24" t="s">
        <v>41</v>
      </c>
      <c r="D47" s="24">
        <v>0.4</v>
      </c>
      <c r="E47" s="25"/>
      <c r="F47" s="25"/>
      <c r="G47" s="24"/>
      <c r="H47" s="25">
        <f>IF(ISBLANK('1-200关设定'!W47),"",'1-200关设定'!W47)</f>
        <v>4</v>
      </c>
      <c r="I47" s="25">
        <f>IF(ISBLANK('1-200关设定'!V47),"",'1-200关设定'!V47)</f>
        <v>3</v>
      </c>
      <c r="J47" t="str">
        <f>IF(G47="","",1-EXP(-G47/参数配置!O51))</f>
        <v/>
      </c>
      <c r="K47">
        <f t="shared" si="0"/>
        <v>0.25</v>
      </c>
      <c r="L47">
        <f t="shared" si="1"/>
        <v>0.875</v>
      </c>
      <c r="M47" t="str">
        <f>IF(G47="","",(参数配置!O47*K47+参数配置!O48*(J47-(1-EXP(-200/参数配置!O51)))/((1-EXP(-1500/参数配置!O51))-(1-EXP(-200/参数配置!O51)))+参数配置!O49*(L47/(1-2^(-5)))+参数配置!O50*K47*(J47-(1-EXP(-200/参数配置!O51)))/((1-EXP(-1500/参数配置!O51))-(1-EXP(-200/参数配置!O51))))*100)</f>
        <v/>
      </c>
      <c r="N47" t="str">
        <f t="array" ref="N47">IF(G47&gt;0,RLD_Label(G47,H47,I47),"")</f>
        <v/>
      </c>
      <c r="O47">
        <v>6</v>
      </c>
      <c r="P47" s="25" t="str">
        <f>IFERROR(INDEX(参数配置!B:B,MATCH(O47,参数配置!A:A,0)),"")</f>
        <v>先易后难</v>
      </c>
    </row>
    <row r="48" ht="14.25" customHeight="1" spans="1:16">
      <c r="B48" s="24">
        <v>47</v>
      </c>
      <c r="C48" s="24" t="s">
        <v>25</v>
      </c>
      <c r="D48" s="24">
        <v>0.85</v>
      </c>
      <c r="E48" s="25"/>
      <c r="F48" s="25"/>
      <c r="G48" s="24"/>
      <c r="H48" s="25">
        <f>IF(ISBLANK('1-200关设定'!W48),"",'1-200关设定'!W48)</f>
        <v>4</v>
      </c>
      <c r="I48" s="25">
        <f>IF(ISBLANK('1-200关设定'!V48),"",'1-200关设定'!V48)</f>
        <v>2</v>
      </c>
      <c r="J48" t="str">
        <f>IF(G48="","",1-EXP(-G48/参数配置!O52))</f>
        <v/>
      </c>
      <c r="K48">
        <f t="shared" si="0"/>
        <v>0.25</v>
      </c>
      <c r="L48">
        <f t="shared" si="1"/>
        <v>0.75</v>
      </c>
      <c r="M48" t="str">
        <f>IF(G48="","",(参数配置!O48*K48+参数配置!O49*(J48-(1-EXP(-200/参数配置!O52)))/((1-EXP(-1500/参数配置!O52))-(1-EXP(-200/参数配置!O52)))+参数配置!O50*(L48/(1-2^(-5)))+参数配置!O51*K48*(J48-(1-EXP(-200/参数配置!O52)))/((1-EXP(-1500/参数配置!O52))-(1-EXP(-200/参数配置!O52))))*100)</f>
        <v/>
      </c>
      <c r="N48" t="str">
        <f t="array" ref="N48">IF(G48&gt;0,RLD_Label(G48,H48,I48),"")</f>
        <v/>
      </c>
      <c r="O48">
        <v>2</v>
      </c>
      <c r="P48" s="25" t="str">
        <f>IFERROR(INDEX(参数配置!B:B,MATCH(O48,参数配置!A:A,0)),"")</f>
        <v>波动前进</v>
      </c>
    </row>
    <row r="49" ht="14.25" customHeight="1" spans="1:16">
      <c r="B49" s="24">
        <v>48</v>
      </c>
      <c r="C49" s="24" t="s">
        <v>25</v>
      </c>
      <c r="D49" s="24">
        <v>0.85</v>
      </c>
      <c r="E49" s="25"/>
      <c r="F49" s="25"/>
      <c r="G49" s="24"/>
      <c r="H49" s="25">
        <f>IF(ISBLANK('1-200关设定'!W49),"",'1-200关设定'!W49)</f>
        <v>4</v>
      </c>
      <c r="I49" s="25">
        <f>IF(ISBLANK('1-200关设定'!V49),"",'1-200关设定'!V49)</f>
        <v>2</v>
      </c>
      <c r="J49" t="str">
        <f>IF(G49="","",1-EXP(-G49/参数配置!O53))</f>
        <v/>
      </c>
      <c r="K49">
        <f t="shared" si="0"/>
        <v>0.25</v>
      </c>
      <c r="L49">
        <f t="shared" si="1"/>
        <v>0.75</v>
      </c>
      <c r="M49" t="str">
        <f>IF(G49="","",(参数配置!O49*K49+参数配置!O50*(J49-(1-EXP(-200/参数配置!O53)))/((1-EXP(-1500/参数配置!O53))-(1-EXP(-200/参数配置!O53)))+参数配置!O51*(L49/(1-2^(-5)))+参数配置!O52*K49*(J49-(1-EXP(-200/参数配置!O53)))/((1-EXP(-1500/参数配置!O53))-(1-EXP(-200/参数配置!O53))))*100)</f>
        <v/>
      </c>
      <c r="N49" t="str">
        <f t="array" ref="N49">IF(G49&gt;0,RLD_Label(G49,H49,I49),"")</f>
        <v/>
      </c>
      <c r="O49">
        <v>3</v>
      </c>
      <c r="P49" s="25" t="str">
        <f>IFERROR(INDEX(参数配置!B:B,MATCH(O49,参数配置!A:A,0)),"")</f>
        <v>阶梯上升</v>
      </c>
    </row>
    <row r="50" ht="14.25" customHeight="1" spans="1:16">
      <c r="B50" s="24">
        <v>49</v>
      </c>
      <c r="C50" s="24" t="s">
        <v>25</v>
      </c>
      <c r="D50" s="24">
        <v>0.85</v>
      </c>
      <c r="E50" s="25" t="s">
        <v>51</v>
      </c>
      <c r="F50" s="25"/>
      <c r="G50" s="24"/>
      <c r="H50" s="25">
        <f>IF(ISBLANK('1-200关设定'!W50),"",'1-200关设定'!W50)</f>
        <v>4</v>
      </c>
      <c r="I50" s="25">
        <f>IF(ISBLANK('1-200关设定'!V50),"",'1-200关设定'!V50)</f>
        <v>1</v>
      </c>
      <c r="J50" t="str">
        <f>IF(G50="","",1-EXP(-G50/参数配置!O54))</f>
        <v/>
      </c>
      <c r="K50">
        <f t="shared" si="0"/>
        <v>0.25</v>
      </c>
      <c r="L50">
        <f t="shared" si="1"/>
        <v>0.5</v>
      </c>
      <c r="M50" t="str">
        <f>IF(G50="","",(参数配置!O50*K50+参数配置!O51*(J50-(1-EXP(-200/参数配置!O54)))/((1-EXP(-1500/参数配置!O54))-(1-EXP(-200/参数配置!O54)))+参数配置!O52*(L50/(1-2^(-5)))+参数配置!O53*K50*(J50-(1-EXP(-200/参数配置!O54)))/((1-EXP(-1500/参数配置!O54))-(1-EXP(-200/参数配置!O54))))*100)</f>
        <v/>
      </c>
      <c r="N50" t="str">
        <f t="array" ref="N50">IF(G50&gt;0,RLD_Label(G50,H50,I50),"")</f>
        <v/>
      </c>
      <c r="O50">
        <v>2</v>
      </c>
      <c r="P50" s="25" t="str">
        <f>IFERROR(INDEX(参数配置!B:B,MATCH(O50,参数配置!A:A,0)),"")</f>
        <v>波动前进</v>
      </c>
    </row>
    <row r="51" ht="14.25" customHeight="1" spans="1:16">
      <c r="B51" s="24">
        <v>50</v>
      </c>
      <c r="C51" s="24" t="s">
        <v>25</v>
      </c>
      <c r="D51" s="24">
        <v>0.85</v>
      </c>
      <c r="E51" s="25"/>
      <c r="F51" s="25"/>
      <c r="G51" s="24"/>
      <c r="H51" s="25">
        <f>IF(ISBLANK('1-200关设定'!W51),"",'1-200关设定'!W51)</f>
        <v>4</v>
      </c>
      <c r="I51" s="25">
        <f>IF(ISBLANK('1-200关设定'!V51),"",'1-200关设定'!V51)</f>
        <v>2</v>
      </c>
      <c r="J51" t="str">
        <f>IF(G51="","",1-EXP(-G51/参数配置!O55))</f>
        <v/>
      </c>
      <c r="K51">
        <f t="shared" si="0"/>
        <v>0.25</v>
      </c>
      <c r="L51">
        <f t="shared" si="1"/>
        <v>0.75</v>
      </c>
      <c r="M51" t="str">
        <f>IF(G51="","",(参数配置!O51*K51+参数配置!O52*(J51-(1-EXP(-200/参数配置!O55)))/((1-EXP(-1500/参数配置!O55))-(1-EXP(-200/参数配置!O55)))+参数配置!O53*(L51/(1-2^(-5)))+参数配置!O54*K51*(J51-(1-EXP(-200/参数配置!O55)))/((1-EXP(-1500/参数配置!O55))-(1-EXP(-200/参数配置!O55))))*100)</f>
        <v/>
      </c>
      <c r="N51" t="str">
        <f t="array" ref="N51">IF(G51&gt;0,RLD_Label(G51,H51,I51),"")</f>
        <v/>
      </c>
      <c r="O51">
        <v>2</v>
      </c>
      <c r="P51" s="25" t="str">
        <f>IFERROR(INDEX(参数配置!B:B,MATCH(O51,参数配置!A:A,0)),"")</f>
        <v>波动前进</v>
      </c>
    </row>
    <row r="52" ht="14.25" customHeight="1" spans="1:16">
      <c r="A52" s="23"/>
      <c r="B52" s="24">
        <v>51</v>
      </c>
      <c r="C52" s="24" t="s">
        <v>25</v>
      </c>
      <c r="D52" s="24">
        <v>0.85</v>
      </c>
      <c r="E52" s="25"/>
      <c r="F52" s="25"/>
      <c r="G52" s="24"/>
      <c r="H52" s="25">
        <f>IF(ISBLANK('1-200关设定'!W52),"",'1-200关设定'!W52)</f>
        <v>4</v>
      </c>
      <c r="I52" s="25">
        <f>IF(ISBLANK('1-200关设定'!V52),"",'1-200关设定'!V52)</f>
        <v>2</v>
      </c>
      <c r="J52" t="str">
        <f>IF(G52="","",1-EXP(-G52/参数配置!O56))</f>
        <v/>
      </c>
      <c r="K52">
        <f t="shared" si="0"/>
        <v>0.25</v>
      </c>
      <c r="L52">
        <f t="shared" si="1"/>
        <v>0.75</v>
      </c>
      <c r="M52" t="str">
        <f>IF(G52="","",(参数配置!O52*K52+参数配置!O53*(J52-(1-EXP(-200/参数配置!O56)))/((1-EXP(-1500/参数配置!O56))-(1-EXP(-200/参数配置!O56)))+参数配置!O54*(L52/(1-2^(-5)))+参数配置!O55*K52*(J52-(1-EXP(-200/参数配置!O56)))/((1-EXP(-1500/参数配置!O56))-(1-EXP(-200/参数配置!O56))))*100)</f>
        <v/>
      </c>
      <c r="N52" t="str">
        <f t="array" ref="N52">IF(G52&gt;0,RLD_Label(G52,H52,I52),"")</f>
        <v/>
      </c>
      <c r="O52">
        <v>3</v>
      </c>
      <c r="P52" s="25" t="str">
        <f>IFERROR(INDEX(参数配置!B:B,MATCH(O52,参数配置!A:A,0)),"")</f>
        <v>阶梯上升</v>
      </c>
    </row>
    <row r="53" ht="14.25" customHeight="1" spans="1:16">
      <c r="B53" s="24">
        <v>52</v>
      </c>
      <c r="C53" s="24" t="s">
        <v>32</v>
      </c>
      <c r="D53" s="24">
        <v>0.6</v>
      </c>
      <c r="E53" s="25"/>
      <c r="F53" s="25"/>
      <c r="G53" s="24"/>
      <c r="H53" s="25">
        <f>IF(ISBLANK('1-200关设定'!W53),"",'1-200关设定'!W53)</f>
        <v>5</v>
      </c>
      <c r="I53" s="25">
        <f>IF(ISBLANK('1-200关设定'!V53),"",'1-200关设定'!V53)</f>
        <v>3</v>
      </c>
      <c r="J53" t="str">
        <f>IF(G53="","",1-EXP(-G53/参数配置!O57))</f>
        <v/>
      </c>
      <c r="K53">
        <f t="shared" si="0"/>
        <v>0.5625</v>
      </c>
      <c r="L53">
        <f t="shared" si="1"/>
        <v>0.875</v>
      </c>
      <c r="M53" t="str">
        <f>IF(G53="","",(参数配置!O53*K53+参数配置!O54*(J53-(1-EXP(-200/参数配置!O57)))/((1-EXP(-1500/参数配置!O57))-(1-EXP(-200/参数配置!O57)))+参数配置!O55*(L53/(1-2^(-5)))+参数配置!O56*K53*(J53-(1-EXP(-200/参数配置!O57)))/((1-EXP(-1500/参数配置!O57))-(1-EXP(-200/参数配置!O57))))*100)</f>
        <v/>
      </c>
      <c r="N53" t="str">
        <f t="array" ref="N53">IF(G53&gt;0,RLD_Label(G53,H53,I53),"")</f>
        <v/>
      </c>
      <c r="O53">
        <v>3</v>
      </c>
      <c r="P53" s="25" t="str">
        <f>IFERROR(INDEX(参数配置!B:B,MATCH(O53,参数配置!A:A,0)),"")</f>
        <v>阶梯上升</v>
      </c>
    </row>
    <row r="54" ht="14.25" customHeight="1" spans="1:16">
      <c r="B54" s="24">
        <v>53</v>
      </c>
      <c r="C54" s="24" t="s">
        <v>25</v>
      </c>
      <c r="D54" s="24">
        <v>0.85</v>
      </c>
      <c r="E54" s="25"/>
      <c r="F54" s="25"/>
      <c r="G54" s="24"/>
      <c r="H54" s="25">
        <f>IF(ISBLANK('1-200关设定'!W54),"",'1-200关设定'!W54)</f>
        <v>4</v>
      </c>
      <c r="I54" s="25">
        <f>IF(ISBLANK('1-200关设定'!V54),"",'1-200关设定'!V54)</f>
        <v>3</v>
      </c>
      <c r="J54" t="str">
        <f>IF(G54="","",1-EXP(-G54/参数配置!O58))</f>
        <v/>
      </c>
      <c r="K54">
        <f t="shared" si="0"/>
        <v>0.25</v>
      </c>
      <c r="L54">
        <f t="shared" si="1"/>
        <v>0.875</v>
      </c>
      <c r="M54" t="str">
        <f>IF(G54="","",(参数配置!O54*K54+参数配置!O55*(J54-(1-EXP(-200/参数配置!O58)))/((1-EXP(-1500/参数配置!O58))-(1-EXP(-200/参数配置!O58)))+参数配置!O56*(L54/(1-2^(-5)))+参数配置!O57*K54*(J54-(1-EXP(-200/参数配置!O58)))/((1-EXP(-1500/参数配置!O58))-(1-EXP(-200/参数配置!O58))))*100)</f>
        <v/>
      </c>
      <c r="N54" t="str">
        <f t="array" ref="N54">IF(G54&gt;0,RLD_Label(G54,H54,I54),"")</f>
        <v/>
      </c>
      <c r="O54">
        <v>2</v>
      </c>
      <c r="P54" s="25" t="str">
        <f>IFERROR(INDEX(参数配置!B:B,MATCH(O54,参数配置!A:A,0)),"")</f>
        <v>波动前进</v>
      </c>
    </row>
    <row r="55" ht="14.25" customHeight="1" spans="1:16">
      <c r="B55" s="24">
        <v>54</v>
      </c>
      <c r="C55" s="24" t="s">
        <v>32</v>
      </c>
      <c r="D55" s="24">
        <v>0.6</v>
      </c>
      <c r="E55" s="25"/>
      <c r="F55" s="25"/>
      <c r="G55" s="24"/>
      <c r="H55" s="25">
        <f>IF(ISBLANK('1-200关设定'!W55),"",'1-200关设定'!W55)</f>
        <v>4</v>
      </c>
      <c r="I55" s="25">
        <f>IF(ISBLANK('1-200关设定'!V55),"",'1-200关设定'!V55)</f>
        <v>3</v>
      </c>
      <c r="J55" t="str">
        <f>IF(G55="","",1-EXP(-G55/参数配置!O59))</f>
        <v/>
      </c>
      <c r="K55">
        <f t="shared" si="0"/>
        <v>0.25</v>
      </c>
      <c r="L55">
        <f t="shared" si="1"/>
        <v>0.875</v>
      </c>
      <c r="M55" t="str">
        <f>IF(G55="","",(参数配置!O55*K55+参数配置!O56*(J55-(1-EXP(-200/参数配置!O59)))/((1-EXP(-1500/参数配置!O59))-(1-EXP(-200/参数配置!O59)))+参数配置!O57*(L55/(1-2^(-5)))+参数配置!O58*K55*(J55-(1-EXP(-200/参数配置!O59)))/((1-EXP(-1500/参数配置!O59))-(1-EXP(-200/参数配置!O59))))*100)</f>
        <v/>
      </c>
      <c r="N55" t="str">
        <f t="array" ref="N55">IF(G55&gt;0,RLD_Label(G55,H55,I55),"")</f>
        <v/>
      </c>
      <c r="O55">
        <v>4</v>
      </c>
      <c r="P55" s="25" t="str">
        <f>IFERROR(INDEX(参数配置!B:B,MATCH(O55,参数配置!A:A,0)),"")</f>
        <v>双峰值</v>
      </c>
    </row>
    <row r="56" ht="14.25" customHeight="1" spans="1:16">
      <c r="B56" s="24">
        <v>55</v>
      </c>
      <c r="C56" s="24" t="s">
        <v>25</v>
      </c>
      <c r="D56" s="24">
        <v>0.85</v>
      </c>
      <c r="E56" s="25"/>
      <c r="F56" s="25"/>
      <c r="G56" s="24"/>
      <c r="H56" s="25">
        <f>IF(ISBLANK('1-200关设定'!W56),"",'1-200关设定'!W56)</f>
        <v>5</v>
      </c>
      <c r="I56" s="25">
        <f>IF(ISBLANK('1-200关设定'!V56),"",'1-200关设定'!V56)</f>
        <v>2</v>
      </c>
      <c r="J56" t="str">
        <f>IF(G56="","",1-EXP(-G56/参数配置!O60))</f>
        <v/>
      </c>
      <c r="K56">
        <f t="shared" si="0"/>
        <v>0.5625</v>
      </c>
      <c r="L56">
        <f t="shared" si="1"/>
        <v>0.75</v>
      </c>
      <c r="M56" t="str">
        <f>IF(G56="","",(参数配置!O56*K56+参数配置!O57*(J56-(1-EXP(-200/参数配置!O60)))/((1-EXP(-1500/参数配置!O60))-(1-EXP(-200/参数配置!O60)))+参数配置!O58*(L56/(1-2^(-5)))+参数配置!O59*K56*(J56-(1-EXP(-200/参数配置!O60)))/((1-EXP(-1500/参数配置!O60))-(1-EXP(-200/参数配置!O60))))*100)</f>
        <v/>
      </c>
      <c r="N56" t="str">
        <f t="array" ref="N56">IF(G56&gt;0,RLD_Label(G56,H56,I56),"")</f>
        <v/>
      </c>
      <c r="O56">
        <v>2</v>
      </c>
      <c r="P56" s="25" t="str">
        <f>IFERROR(INDEX(参数配置!B:B,MATCH(O56,参数配置!A:A,0)),"")</f>
        <v>波动前进</v>
      </c>
    </row>
    <row r="57" ht="14.25" customHeight="1" spans="1:16">
      <c r="B57" s="24">
        <v>56</v>
      </c>
      <c r="C57" s="24" t="s">
        <v>25</v>
      </c>
      <c r="D57" s="24">
        <v>0.85</v>
      </c>
      <c r="E57" s="25"/>
      <c r="F57" s="25"/>
      <c r="G57" s="24"/>
      <c r="H57" s="25">
        <f>IF(ISBLANK('1-200关设定'!W57),"",'1-200关设定'!W57)</f>
        <v>4</v>
      </c>
      <c r="I57" s="25">
        <f>IF(ISBLANK('1-200关设定'!V57),"",'1-200关设定'!V57)</f>
        <v>4</v>
      </c>
      <c r="J57" t="str">
        <f>IF(G57="","",1-EXP(-G57/参数配置!O61))</f>
        <v/>
      </c>
      <c r="K57">
        <f t="shared" si="0"/>
        <v>0.25</v>
      </c>
      <c r="L57">
        <f t="shared" si="1"/>
        <v>0.9375</v>
      </c>
      <c r="M57" t="str">
        <f>IF(G57="","",(参数配置!O57*K57+参数配置!O58*(J57-(1-EXP(-200/参数配置!O61)))/((1-EXP(-1500/参数配置!O61))-(1-EXP(-200/参数配置!O61)))+参数配置!O59*(L57/(1-2^(-5)))+参数配置!O60*K57*(J57-(1-EXP(-200/参数配置!O61)))/((1-EXP(-1500/参数配置!O61))-(1-EXP(-200/参数配置!O61))))*100)</f>
        <v/>
      </c>
      <c r="N57" t="str">
        <f t="array" ref="N57">IF(G57&gt;0,RLD_Label(G57,H57,I57),"")</f>
        <v/>
      </c>
      <c r="O57">
        <v>3</v>
      </c>
      <c r="P57" s="25" t="str">
        <f>IFERROR(INDEX(参数配置!B:B,MATCH(O57,参数配置!A:A,0)),"")</f>
        <v>阶梯上升</v>
      </c>
    </row>
    <row r="58" ht="14.25" customHeight="1" spans="1:16">
      <c r="B58" s="24">
        <v>57</v>
      </c>
      <c r="C58" s="24" t="s">
        <v>25</v>
      </c>
      <c r="D58" s="24">
        <v>0.85</v>
      </c>
      <c r="E58" s="25"/>
      <c r="F58" s="25"/>
      <c r="G58" s="24"/>
      <c r="H58" s="25">
        <f>IF(ISBLANK('1-200关设定'!W58),"",'1-200关设定'!W58)</f>
        <v>4</v>
      </c>
      <c r="I58" s="25">
        <f>IF(ISBLANK('1-200关设定'!V58),"",'1-200关设定'!V58)</f>
        <v>4</v>
      </c>
      <c r="J58" t="str">
        <f>IF(G58="","",1-EXP(-G58/参数配置!O62))</f>
        <v/>
      </c>
      <c r="K58">
        <f t="shared" si="0"/>
        <v>0.25</v>
      </c>
      <c r="L58">
        <f t="shared" si="1"/>
        <v>0.9375</v>
      </c>
      <c r="M58" t="str">
        <f>IF(G58="","",(参数配置!O58*K58+参数配置!O59*(J58-(1-EXP(-200/参数配置!O62)))/((1-EXP(-1500/参数配置!O62))-(1-EXP(-200/参数配置!O62)))+参数配置!O60*(L58/(1-2^(-5)))+参数配置!O61*K58*(J58-(1-EXP(-200/参数配置!O62)))/((1-EXP(-1500/参数配置!O62))-(1-EXP(-200/参数配置!O62))))*100)</f>
        <v/>
      </c>
      <c r="N58" t="str">
        <f t="array" ref="N58">IF(G58&gt;0,RLD_Label(G58,H58,I58),"")</f>
        <v/>
      </c>
      <c r="O58">
        <v>2</v>
      </c>
      <c r="P58" s="25" t="str">
        <f>IFERROR(INDEX(参数配置!B:B,MATCH(O58,参数配置!A:A,0)),"")</f>
        <v>波动前进</v>
      </c>
    </row>
    <row r="59" ht="14.25" customHeight="1" spans="1:16">
      <c r="B59" s="24">
        <v>58</v>
      </c>
      <c r="C59" s="24" t="s">
        <v>41</v>
      </c>
      <c r="D59" s="24">
        <v>0.4</v>
      </c>
      <c r="E59" s="25"/>
      <c r="F59" s="25"/>
      <c r="G59" s="24"/>
      <c r="H59" s="25">
        <f>IF(ISBLANK('1-200关设定'!W59),"",'1-200关设定'!W59)</f>
        <v>5</v>
      </c>
      <c r="I59" s="25">
        <f>IF(ISBLANK('1-200关设定'!V59),"",'1-200关设定'!V59)</f>
        <v>2</v>
      </c>
      <c r="J59" t="str">
        <f>IF(G59="","",1-EXP(-G59/参数配置!O63))</f>
        <v/>
      </c>
      <c r="K59">
        <f t="shared" si="0"/>
        <v>0.5625</v>
      </c>
      <c r="L59">
        <f t="shared" si="1"/>
        <v>0.75</v>
      </c>
      <c r="M59" t="str">
        <f>IF(G59="","",(参数配置!O59*K59+参数配置!O60*(J59-(1-EXP(-200/参数配置!O63)))/((1-EXP(-1500/参数配置!O63))-(1-EXP(-200/参数配置!O63)))+参数配置!O61*(L59/(1-2^(-5)))+参数配置!O62*K59*(J59-(1-EXP(-200/参数配置!O63)))/((1-EXP(-1500/参数配置!O63))-(1-EXP(-200/参数配置!O63))))*100)</f>
        <v/>
      </c>
      <c r="N59" t="str">
        <f t="array" ref="N59">IF(G59&gt;0,RLD_Label(G59,H59,I59),"")</f>
        <v/>
      </c>
      <c r="O59">
        <v>6</v>
      </c>
      <c r="P59" s="25" t="str">
        <f>IFERROR(INDEX(参数配置!B:B,MATCH(O59,参数配置!A:A,0)),"")</f>
        <v>先易后难</v>
      </c>
    </row>
    <row r="60" ht="14.25" customHeight="1" spans="1:16">
      <c r="B60" s="24">
        <v>59</v>
      </c>
      <c r="C60" s="24" t="s">
        <v>25</v>
      </c>
      <c r="D60" s="24">
        <v>0.85</v>
      </c>
      <c r="E60" s="25"/>
      <c r="F60" s="25"/>
      <c r="G60" s="24"/>
      <c r="H60" s="25">
        <f>IF(ISBLANK('1-200关设定'!W60),"",'1-200关设定'!W60)</f>
        <v>4</v>
      </c>
      <c r="I60" s="25">
        <f>IF(ISBLANK('1-200关设定'!V60),"",'1-200关设定'!V60)</f>
        <v>3</v>
      </c>
      <c r="J60" t="str">
        <f>IF(G60="","",1-EXP(-G60/参数配置!O64))</f>
        <v/>
      </c>
      <c r="K60">
        <f t="shared" si="0"/>
        <v>0.25</v>
      </c>
      <c r="L60">
        <f t="shared" si="1"/>
        <v>0.875</v>
      </c>
      <c r="M60" t="str">
        <f>IF(G60="","",(参数配置!O60*K60+参数配置!O61*(J60-(1-EXP(-200/参数配置!O64)))/((1-EXP(-1500/参数配置!O64))-(1-EXP(-200/参数配置!O64)))+参数配置!O62*(L60/(1-2^(-5)))+参数配置!O63*K60*(J60-(1-EXP(-200/参数配置!O64)))/((1-EXP(-1500/参数配置!O64))-(1-EXP(-200/参数配置!O64))))*100)</f>
        <v/>
      </c>
      <c r="N60" t="str">
        <f t="array" ref="N60">IF(G60&gt;0,RLD_Label(G60,H60,I60),"")</f>
        <v/>
      </c>
      <c r="O60">
        <v>2</v>
      </c>
      <c r="P60" s="25" t="str">
        <f>IFERROR(INDEX(参数配置!B:B,MATCH(O60,参数配置!A:A,0)),"")</f>
        <v>波动前进</v>
      </c>
    </row>
    <row r="61" ht="14.25" customHeight="1" spans="1:16">
      <c r="B61" s="24">
        <v>60</v>
      </c>
      <c r="C61" s="24" t="s">
        <v>25</v>
      </c>
      <c r="D61" s="24">
        <v>0.85</v>
      </c>
      <c r="E61" s="25"/>
      <c r="F61" s="25"/>
      <c r="G61" s="24"/>
      <c r="H61" s="25">
        <f>IF(ISBLANK('1-200关设定'!W61),"",'1-200关设定'!W61)</f>
        <v>4</v>
      </c>
      <c r="I61" s="25">
        <f>IF(ISBLANK('1-200关设定'!V61),"",'1-200关设定'!V61)</f>
        <v>4</v>
      </c>
      <c r="J61" t="str">
        <f>IF(G61="","",1-EXP(-G61/参数配置!O65))</f>
        <v/>
      </c>
      <c r="K61">
        <f t="shared" si="0"/>
        <v>0.25</v>
      </c>
      <c r="L61">
        <f t="shared" si="1"/>
        <v>0.9375</v>
      </c>
      <c r="M61" t="str">
        <f>IF(G61="","",(参数配置!O61*K61+参数配置!O62*(J61-(1-EXP(-200/参数配置!O65)))/((1-EXP(-1500/参数配置!O65))-(1-EXP(-200/参数配置!O65)))+参数配置!O63*(L61/(1-2^(-5)))+参数配置!O64*K61*(J61-(1-EXP(-200/参数配置!O65)))/((1-EXP(-1500/参数配置!O65))-(1-EXP(-200/参数配置!O65))))*100)</f>
        <v/>
      </c>
      <c r="N61" t="str">
        <f t="array" ref="N61">IF(G61&gt;0,RLD_Label(G61,H61,I61),"")</f>
        <v/>
      </c>
      <c r="O61">
        <v>3</v>
      </c>
      <c r="P61" s="25" t="str">
        <f>IFERROR(INDEX(参数配置!B:B,MATCH(O61,参数配置!A:A,0)),"")</f>
        <v>阶梯上升</v>
      </c>
    </row>
    <row r="62" ht="14.25" customHeight="1" spans="1:16">
      <c r="A62" s="23" t="s">
        <v>52</v>
      </c>
      <c r="B62" s="24">
        <v>61</v>
      </c>
      <c r="C62" s="24" t="s">
        <v>25</v>
      </c>
      <c r="D62" s="24">
        <v>0.85</v>
      </c>
      <c r="E62" s="25"/>
      <c r="F62" s="25"/>
      <c r="G62" s="24"/>
      <c r="H62" s="25">
        <f>IF(ISBLANK('1-200关设定'!W62),"",'1-200关设定'!W62)</f>
        <v>4</v>
      </c>
      <c r="I62" s="25">
        <f>IF(ISBLANK('1-200关设定'!V62),"",'1-200关设定'!V62)</f>
        <v>3</v>
      </c>
      <c r="J62" t="str">
        <f>IF(G62="","",1-EXP(-G62/参数配置!O66))</f>
        <v/>
      </c>
      <c r="K62">
        <f t="shared" si="0"/>
        <v>0.25</v>
      </c>
      <c r="L62">
        <f t="shared" si="1"/>
        <v>0.875</v>
      </c>
      <c r="M62" t="str">
        <f>IF(G62="","",(参数配置!O62*K62+参数配置!O63*(J62-(1-EXP(-200/参数配置!O66)))/((1-EXP(-1500/参数配置!O66))-(1-EXP(-200/参数配置!O66)))+参数配置!O64*(L62/(1-2^(-5)))+参数配置!O65*K62*(J62-(1-EXP(-200/参数配置!O66)))/((1-EXP(-1500/参数配置!O66))-(1-EXP(-200/参数配置!O66))))*100)</f>
        <v/>
      </c>
      <c r="N62" t="str">
        <f t="array" ref="N62">IF(G62&gt;0,RLD_Label(G62,H62,I62),"")</f>
        <v/>
      </c>
      <c r="O62">
        <v>2</v>
      </c>
      <c r="P62" s="25" t="str">
        <f>IFERROR(INDEX(参数配置!B:B,MATCH(O62,参数配置!A:A,0)),"")</f>
        <v>波动前进</v>
      </c>
    </row>
    <row r="63" ht="14.25" customHeight="1" spans="1:16">
      <c r="B63" s="24">
        <v>62</v>
      </c>
      <c r="C63" s="24" t="s">
        <v>25</v>
      </c>
      <c r="D63" s="24">
        <v>0.85</v>
      </c>
      <c r="E63" s="25"/>
      <c r="F63" s="25"/>
      <c r="G63" s="24"/>
      <c r="H63" s="25">
        <f>IF(ISBLANK('1-200关设定'!W63),"",'1-200关设定'!W63)</f>
        <v>4</v>
      </c>
      <c r="I63" s="25">
        <f>IF(ISBLANK('1-200关设定'!V63),"",'1-200关设定'!V63)</f>
        <v>3</v>
      </c>
      <c r="J63" t="str">
        <f>IF(G63="","",1-EXP(-G63/参数配置!O67))</f>
        <v/>
      </c>
      <c r="K63">
        <f t="shared" si="0"/>
        <v>0.25</v>
      </c>
      <c r="L63">
        <f t="shared" si="1"/>
        <v>0.875</v>
      </c>
      <c r="M63" t="str">
        <f>IF(G63="","",(参数配置!O63*K63+参数配置!O64*(J63-(1-EXP(-200/参数配置!O67)))/((1-EXP(-1500/参数配置!O67))-(1-EXP(-200/参数配置!O67)))+参数配置!O65*(L63/(1-2^(-5)))+参数配置!O66*K63*(J63-(1-EXP(-200/参数配置!O67)))/((1-EXP(-1500/参数配置!O67))-(1-EXP(-200/参数配置!O67))))*100)</f>
        <v/>
      </c>
      <c r="N63" t="str">
        <f t="array" ref="N63">IF(G63&gt;0,RLD_Label(G63,H63,I63),"")</f>
        <v/>
      </c>
      <c r="O63">
        <v>2</v>
      </c>
      <c r="P63" s="25" t="str">
        <f>IFERROR(INDEX(参数配置!B:B,MATCH(O63,参数配置!A:A,0)),"")</f>
        <v>波动前进</v>
      </c>
    </row>
    <row r="64" ht="14.25" customHeight="1" spans="1:16">
      <c r="B64" s="24">
        <v>63</v>
      </c>
      <c r="C64" s="24" t="s">
        <v>25</v>
      </c>
      <c r="D64" s="24">
        <v>0.85</v>
      </c>
      <c r="E64" s="25"/>
      <c r="F64" s="25"/>
      <c r="G64" s="24"/>
      <c r="H64" s="25">
        <f>IF(ISBLANK('1-200关设定'!W64),"",'1-200关设定'!W64)</f>
        <v>4</v>
      </c>
      <c r="I64" s="25">
        <f>IF(ISBLANK('1-200关设定'!V64),"",'1-200关设定'!V64)</f>
        <v>3</v>
      </c>
      <c r="J64" t="str">
        <f>IF(G64="","",1-EXP(-G64/参数配置!O68))</f>
        <v/>
      </c>
      <c r="K64">
        <f t="shared" si="0"/>
        <v>0.25</v>
      </c>
      <c r="L64">
        <f t="shared" si="1"/>
        <v>0.875</v>
      </c>
      <c r="M64" t="str">
        <f>IF(G64="","",(参数配置!O64*K64+参数配置!O65*(J64-(1-EXP(-200/参数配置!O68)))/((1-EXP(-1500/参数配置!O68))-(1-EXP(-200/参数配置!O68)))+参数配置!O66*(L64/(1-2^(-5)))+参数配置!O67*K64*(J64-(1-EXP(-200/参数配置!O68)))/((1-EXP(-1500/参数配置!O68))-(1-EXP(-200/参数配置!O68))))*100)</f>
        <v/>
      </c>
      <c r="N64" t="str">
        <f t="array" ref="N64">IF(G64&gt;0,RLD_Label(G64,H64,I64),"")</f>
        <v/>
      </c>
      <c r="O64">
        <v>4</v>
      </c>
      <c r="P64" s="25" t="str">
        <f>IFERROR(INDEX(参数配置!B:B,MATCH(O64,参数配置!A:A,0)),"")</f>
        <v>双峰值</v>
      </c>
    </row>
    <row r="65" ht="14.25" customHeight="1" spans="2:16">
      <c r="B65" s="24">
        <v>64</v>
      </c>
      <c r="C65" s="24" t="s">
        <v>32</v>
      </c>
      <c r="D65" s="24">
        <v>0.6</v>
      </c>
      <c r="E65" s="25"/>
      <c r="F65" s="25"/>
      <c r="G65" s="24"/>
      <c r="H65" s="25">
        <f>IF(ISBLANK('1-200关设定'!W65),"",'1-200关设定'!W65)</f>
        <v>4</v>
      </c>
      <c r="I65" s="25">
        <f>IF(ISBLANK('1-200关设定'!V65),"",'1-200关设定'!V65)</f>
        <v>3</v>
      </c>
      <c r="J65" t="str">
        <f>IF(G65="","",1-EXP(-G65/参数配置!O69))</f>
        <v/>
      </c>
      <c r="K65">
        <f t="shared" si="0"/>
        <v>0.25</v>
      </c>
      <c r="L65">
        <f t="shared" si="1"/>
        <v>0.875</v>
      </c>
      <c r="M65" t="str">
        <f>IF(G65="","",(参数配置!O65*K65+参数配置!O66*(J65-(1-EXP(-200/参数配置!O69)))/((1-EXP(-1500/参数配置!O69))-(1-EXP(-200/参数配置!O69)))+参数配置!O67*(L65/(1-2^(-5)))+参数配置!O68*K65*(J65-(1-EXP(-200/参数配置!O69)))/((1-EXP(-1500/参数配置!O69))-(1-EXP(-200/参数配置!O69))))*100)</f>
        <v/>
      </c>
      <c r="N65" t="str">
        <f t="array" ref="N65">IF(G65&gt;0,RLD_Label(G65,H65,I65),"")</f>
        <v/>
      </c>
      <c r="O65">
        <v>3</v>
      </c>
      <c r="P65" s="25" t="str">
        <f>IFERROR(INDEX(参数配置!B:B,MATCH(O65,参数配置!A:A,0)),"")</f>
        <v>阶梯上升</v>
      </c>
    </row>
    <row r="66" ht="14.25" customHeight="1" spans="2:16">
      <c r="B66" s="24">
        <v>65</v>
      </c>
      <c r="C66" s="24" t="s">
        <v>32</v>
      </c>
      <c r="D66" s="24">
        <v>0.6</v>
      </c>
      <c r="E66" s="25"/>
      <c r="F66" s="25"/>
      <c r="G66" s="24"/>
      <c r="H66" s="25">
        <f>IF(ISBLANK('1-200关设定'!W66),"",'1-200关设定'!W66)</f>
        <v>5</v>
      </c>
      <c r="I66" s="25">
        <f>IF(ISBLANK('1-200关设定'!V66),"",'1-200关设定'!V66)</f>
        <v>4</v>
      </c>
      <c r="J66" t="str">
        <f>IF(G66="","",1-EXP(-G66/参数配置!O70))</f>
        <v/>
      </c>
      <c r="K66">
        <f t="shared" ref="K66:K129" si="2">IF(H66="","",((H66-2)/4)^2)</f>
        <v>0.5625</v>
      </c>
      <c r="L66">
        <f t="shared" ref="L66:L129" si="3">IF(I66="","",1-2^(-I66))</f>
        <v>0.9375</v>
      </c>
      <c r="M66" t="str">
        <f>IF(G66="","",(参数配置!O66*K66+参数配置!O67*(J66-(1-EXP(-200/参数配置!O70)))/((1-EXP(-1500/参数配置!O70))-(1-EXP(-200/参数配置!O70)))+参数配置!O68*(L66/(1-2^(-5)))+参数配置!O69*K66*(J66-(1-EXP(-200/参数配置!O70)))/((1-EXP(-1500/参数配置!O70))-(1-EXP(-200/参数配置!O70))))*100)</f>
        <v/>
      </c>
      <c r="N66" t="str">
        <f t="array" ref="N66">IF(G66&gt;0,RLD_Label(G66,H66,I66),"")</f>
        <v/>
      </c>
      <c r="O66">
        <v>2</v>
      </c>
      <c r="P66" s="25" t="str">
        <f>IFERROR(INDEX(参数配置!B:B,MATCH(O66,参数配置!A:A,0)),"")</f>
        <v>波动前进</v>
      </c>
    </row>
    <row r="67" ht="14.25" customHeight="1" spans="2:16">
      <c r="B67" s="24">
        <v>66</v>
      </c>
      <c r="C67" s="24" t="s">
        <v>25</v>
      </c>
      <c r="D67" s="24">
        <v>0.85</v>
      </c>
      <c r="E67" s="25"/>
      <c r="F67" s="25"/>
      <c r="G67" s="24"/>
      <c r="H67" s="25">
        <f>IF(ISBLANK('1-200关设定'!W67),"",'1-200关设定'!W67)</f>
        <v>4</v>
      </c>
      <c r="I67" s="25">
        <f>IF(ISBLANK('1-200关设定'!V67),"",'1-200关设定'!V67)</f>
        <v>3</v>
      </c>
      <c r="J67" t="str">
        <f>IF(G67="","",1-EXP(-G67/参数配置!O71))</f>
        <v/>
      </c>
      <c r="K67">
        <f t="shared" si="2"/>
        <v>0.25</v>
      </c>
      <c r="L67">
        <f t="shared" si="3"/>
        <v>0.875</v>
      </c>
      <c r="M67" t="str">
        <f>IF(G67="","",(参数配置!O67*K67+参数配置!O68*(J67-(1-EXP(-200/参数配置!O71)))/((1-EXP(-1500/参数配置!O71))-(1-EXP(-200/参数配置!O71)))+参数配置!O69*(L67/(1-2^(-5)))+参数配置!O70*K67*(J67-(1-EXP(-200/参数配置!O71)))/((1-EXP(-1500/参数配置!O71))-(1-EXP(-200/参数配置!O71))))*100)</f>
        <v/>
      </c>
      <c r="N67" t="str">
        <f t="array" ref="N67">IF(G67&gt;0,RLD_Label(G67,H67,I67),"")</f>
        <v/>
      </c>
      <c r="O67">
        <v>2</v>
      </c>
      <c r="P67" s="25" t="str">
        <f>IFERROR(INDEX(参数配置!B:B,MATCH(O67,参数配置!A:A,0)),"")</f>
        <v>波动前进</v>
      </c>
    </row>
    <row r="68" ht="14.25" customHeight="1" spans="2:16">
      <c r="B68" s="24">
        <v>67</v>
      </c>
      <c r="C68" s="24" t="s">
        <v>25</v>
      </c>
      <c r="D68" s="24">
        <v>0.85</v>
      </c>
      <c r="E68" s="25"/>
      <c r="F68" s="25"/>
      <c r="G68" s="24"/>
      <c r="H68" s="25">
        <f>IF(ISBLANK('1-200关设定'!W68),"",'1-200关设定'!W68)</f>
        <v>5</v>
      </c>
      <c r="I68" s="25">
        <f>IF(ISBLANK('1-200关设定'!V68),"",'1-200关设定'!V68)</f>
        <v>2</v>
      </c>
      <c r="J68" t="str">
        <f>IF(G68="","",1-EXP(-G68/参数配置!O72))</f>
        <v/>
      </c>
      <c r="K68">
        <f t="shared" si="2"/>
        <v>0.5625</v>
      </c>
      <c r="L68">
        <f t="shared" si="3"/>
        <v>0.75</v>
      </c>
      <c r="M68" t="str">
        <f>IF(G68="","",(参数配置!O68*K68+参数配置!O69*(J68-(1-EXP(-200/参数配置!O72)))/((1-EXP(-1500/参数配置!O72))-(1-EXP(-200/参数配置!O72)))+参数配置!O70*(L68/(1-2^(-5)))+参数配置!O71*K68*(J68-(1-EXP(-200/参数配置!O72)))/((1-EXP(-1500/参数配置!O72))-(1-EXP(-200/参数配置!O72))))*100)</f>
        <v/>
      </c>
      <c r="N68" t="str">
        <f t="array" ref="N68">IF(G68&gt;0,RLD_Label(G68,H68,I68),"")</f>
        <v/>
      </c>
      <c r="O68">
        <v>3</v>
      </c>
      <c r="P68" s="25" t="str">
        <f>IFERROR(INDEX(参数配置!B:B,MATCH(O68,参数配置!A:A,0)),"")</f>
        <v>阶梯上升</v>
      </c>
    </row>
    <row r="69" ht="14.25" customHeight="1" spans="2:16">
      <c r="B69" s="24">
        <v>68</v>
      </c>
      <c r="C69" s="24" t="s">
        <v>32</v>
      </c>
      <c r="D69" s="24">
        <v>0.6</v>
      </c>
      <c r="E69" s="25"/>
      <c r="F69" s="25"/>
      <c r="G69" s="24"/>
      <c r="H69" s="25">
        <f>IF(ISBLANK('1-200关设定'!W69),"",'1-200关设定'!W69)</f>
        <v>4</v>
      </c>
      <c r="I69" s="25">
        <f>IF(ISBLANK('1-200关设定'!V69),"",'1-200关设定'!V69)</f>
        <v>4</v>
      </c>
      <c r="J69" t="str">
        <f>IF(G69="","",1-EXP(-G69/参数配置!O73))</f>
        <v/>
      </c>
      <c r="K69">
        <f t="shared" si="2"/>
        <v>0.25</v>
      </c>
      <c r="L69">
        <f t="shared" si="3"/>
        <v>0.9375</v>
      </c>
      <c r="M69" t="str">
        <f>IF(G69="","",(参数配置!O69*K69+参数配置!O70*(J69-(1-EXP(-200/参数配置!O73)))/((1-EXP(-1500/参数配置!O73))-(1-EXP(-200/参数配置!O73)))+参数配置!O71*(L69/(1-2^(-5)))+参数配置!O72*K69*(J69-(1-EXP(-200/参数配置!O73)))/((1-EXP(-1500/参数配置!O73))-(1-EXP(-200/参数配置!O73))))*100)</f>
        <v/>
      </c>
      <c r="N69" t="str">
        <f t="array" ref="N69">IF(G69&gt;0,RLD_Label(G69,H69,I69),"")</f>
        <v/>
      </c>
      <c r="O69">
        <v>3</v>
      </c>
      <c r="P69" s="25" t="str">
        <f>IFERROR(INDEX(参数配置!B:B,MATCH(O69,参数配置!A:A,0)),"")</f>
        <v>阶梯上升</v>
      </c>
    </row>
    <row r="70" ht="14.25" customHeight="1" spans="2:16">
      <c r="B70" s="24">
        <v>69</v>
      </c>
      <c r="C70" s="24" t="s">
        <v>25</v>
      </c>
      <c r="D70" s="24">
        <v>0.85</v>
      </c>
      <c r="E70" s="25"/>
      <c r="F70" s="25"/>
      <c r="G70" s="24"/>
      <c r="H70" s="25">
        <f>IF(ISBLANK('1-200关设定'!W70),"",'1-200关设定'!W70)</f>
        <v>4</v>
      </c>
      <c r="I70" s="25">
        <f>IF(ISBLANK('1-200关设定'!V70),"",'1-200关设定'!V70)</f>
        <v>3</v>
      </c>
      <c r="J70" t="str">
        <f>IF(G70="","",1-EXP(-G70/参数配置!O74))</f>
        <v/>
      </c>
      <c r="K70">
        <f t="shared" si="2"/>
        <v>0.25</v>
      </c>
      <c r="L70">
        <f t="shared" si="3"/>
        <v>0.875</v>
      </c>
      <c r="M70" t="str">
        <f>IF(G70="","",(参数配置!O70*K70+参数配置!O71*(J70-(1-EXP(-200/参数配置!O74)))/((1-EXP(-1500/参数配置!O74))-(1-EXP(-200/参数配置!O74)))+参数配置!O72*(L70/(1-2^(-5)))+参数配置!O73*K70*(J70-(1-EXP(-200/参数配置!O74)))/((1-EXP(-1500/参数配置!O74))-(1-EXP(-200/参数配置!O74))))*100)</f>
        <v/>
      </c>
      <c r="N70" t="str">
        <f t="array" ref="N70">IF(G70&gt;0,RLD_Label(G70,H70,I70),"")</f>
        <v/>
      </c>
      <c r="O70">
        <v>6</v>
      </c>
      <c r="P70" s="25" t="str">
        <f>IFERROR(INDEX(参数配置!B:B,MATCH(O70,参数配置!A:A,0)),"")</f>
        <v>先易后难</v>
      </c>
    </row>
    <row r="71" ht="14.25" customHeight="1" spans="2:16">
      <c r="B71" s="24">
        <v>70</v>
      </c>
      <c r="C71" s="24" t="s">
        <v>41</v>
      </c>
      <c r="D71" s="24">
        <v>0.4</v>
      </c>
      <c r="E71" s="25"/>
      <c r="F71" s="25"/>
      <c r="G71" s="24"/>
      <c r="H71" s="25">
        <f>IF(ISBLANK('1-200关设定'!W71),"",'1-200关设定'!W71)</f>
        <v>4</v>
      </c>
      <c r="I71" s="25">
        <f>IF(ISBLANK('1-200关设定'!V71),"",'1-200关设定'!V71)</f>
        <v>5</v>
      </c>
      <c r="J71" t="str">
        <f>IF(G71="","",1-EXP(-G71/参数配置!O75))</f>
        <v/>
      </c>
      <c r="K71">
        <f t="shared" si="2"/>
        <v>0.25</v>
      </c>
      <c r="L71">
        <f t="shared" si="3"/>
        <v>0.96875</v>
      </c>
      <c r="M71" t="str">
        <f>IF(G71="","",(参数配置!O71*K71+参数配置!O72*(J71-(1-EXP(-200/参数配置!O75)))/((1-EXP(-1500/参数配置!O75))-(1-EXP(-200/参数配置!O75)))+参数配置!O73*(L71/(1-2^(-5)))+参数配置!O74*K71*(J71-(1-EXP(-200/参数配置!O75)))/((1-EXP(-1500/参数配置!O75))-(1-EXP(-200/参数配置!O75))))*100)</f>
        <v/>
      </c>
      <c r="N71" t="str">
        <f t="array" ref="N71">IF(G71&gt;0,RLD_Label(G71,H71,I71),"")</f>
        <v/>
      </c>
      <c r="O71">
        <v>2</v>
      </c>
      <c r="P71" s="25" t="str">
        <f>IFERROR(INDEX(参数配置!B:B,MATCH(O71,参数配置!A:A,0)),"")</f>
        <v>波动前进</v>
      </c>
    </row>
    <row r="72" ht="14.25" customHeight="1" spans="2:16">
      <c r="B72" s="24">
        <v>71</v>
      </c>
      <c r="C72" s="24" t="s">
        <v>25</v>
      </c>
      <c r="D72" s="24">
        <v>0.85</v>
      </c>
      <c r="E72" s="25"/>
      <c r="F72" s="25"/>
      <c r="G72" s="24"/>
      <c r="H72" s="25">
        <f>IF(ISBLANK('1-200关设定'!W72),"",'1-200关设定'!W72)</f>
        <v>4</v>
      </c>
      <c r="I72" s="25">
        <f>IF(ISBLANK('1-200关设定'!V72),"",'1-200关设定'!V72)</f>
        <v>3</v>
      </c>
      <c r="J72" t="str">
        <f>IF(G72="","",1-EXP(-G72/参数配置!O76))</f>
        <v/>
      </c>
      <c r="K72">
        <f t="shared" si="2"/>
        <v>0.25</v>
      </c>
      <c r="L72">
        <f t="shared" si="3"/>
        <v>0.875</v>
      </c>
      <c r="M72" t="str">
        <f>IF(G72="","",(参数配置!O72*K72+参数配置!O73*(J72-(1-EXP(-200/参数配置!O76)))/((1-EXP(-1500/参数配置!O76))-(1-EXP(-200/参数配置!O76)))+参数配置!O74*(L72/(1-2^(-5)))+参数配置!O75*K72*(J72-(1-EXP(-200/参数配置!O76)))/((1-EXP(-1500/参数配置!O76))-(1-EXP(-200/参数配置!O76))))*100)</f>
        <v/>
      </c>
      <c r="N72" t="str">
        <f t="array" ref="N72">IF(G72&gt;0,RLD_Label(G72,H72,I72),"")</f>
        <v/>
      </c>
      <c r="O72">
        <v>2</v>
      </c>
      <c r="P72" s="25" t="str">
        <f>IFERROR(INDEX(参数配置!B:B,MATCH(O72,参数配置!A:A,0)),"")</f>
        <v>波动前进</v>
      </c>
    </row>
    <row r="73" ht="14.25" customHeight="1" spans="2:16">
      <c r="B73" s="24">
        <v>72</v>
      </c>
      <c r="C73" s="24" t="s">
        <v>32</v>
      </c>
      <c r="D73" s="24">
        <v>0.6</v>
      </c>
      <c r="E73" s="25"/>
      <c r="F73" s="25"/>
      <c r="G73" s="24"/>
      <c r="H73" s="25">
        <f>IF(ISBLANK('1-200关设定'!W73),"",'1-200关设定'!W73)</f>
        <v>5</v>
      </c>
      <c r="I73" s="25">
        <f>IF(ISBLANK('1-200关设定'!V73),"",'1-200关设定'!V73)</f>
        <v>2</v>
      </c>
      <c r="J73" t="str">
        <f>IF(G73="","",1-EXP(-G73/参数配置!O77))</f>
        <v/>
      </c>
      <c r="K73">
        <f t="shared" si="2"/>
        <v>0.5625</v>
      </c>
      <c r="L73">
        <f t="shared" si="3"/>
        <v>0.75</v>
      </c>
      <c r="M73" t="str">
        <f>IF(G73="","",(参数配置!O73*K73+参数配置!O74*(J73-(1-EXP(-200/参数配置!O77)))/((1-EXP(-1500/参数配置!O77))-(1-EXP(-200/参数配置!O77)))+参数配置!O75*(L73/(1-2^(-5)))+参数配置!O76*K73*(J73-(1-EXP(-200/参数配置!O77)))/((1-EXP(-1500/参数配置!O77))-(1-EXP(-200/参数配置!O77))))*100)</f>
        <v/>
      </c>
      <c r="N73" t="str">
        <f t="array" ref="N73">IF(G73&gt;0,RLD_Label(G73,H73,I73),"")</f>
        <v/>
      </c>
      <c r="O73">
        <v>4</v>
      </c>
      <c r="P73" s="25" t="str">
        <f>IFERROR(INDEX(参数配置!B:B,MATCH(O73,参数配置!A:A,0)),"")</f>
        <v>双峰值</v>
      </c>
    </row>
    <row r="74" ht="14.25" customHeight="1" spans="2:16">
      <c r="B74" s="24">
        <v>73</v>
      </c>
      <c r="C74" s="24" t="s">
        <v>25</v>
      </c>
      <c r="D74" s="24">
        <v>0.85</v>
      </c>
      <c r="E74" s="25" t="s">
        <v>53</v>
      </c>
      <c r="F74" s="25"/>
      <c r="G74" s="24"/>
      <c r="H74" s="25">
        <f>IF(ISBLANK('1-200关设定'!W74),"",'1-200关设定'!W74)</f>
        <v>3</v>
      </c>
      <c r="I74" s="25">
        <f>IF(ISBLANK('1-200关设定'!V74),"",'1-200关设定'!V74)</f>
        <v>1</v>
      </c>
      <c r="J74" t="str">
        <f>IF(G74="","",1-EXP(-G74/参数配置!O78))</f>
        <v/>
      </c>
      <c r="K74">
        <f t="shared" si="2"/>
        <v>0.0625</v>
      </c>
      <c r="L74">
        <f t="shared" si="3"/>
        <v>0.5</v>
      </c>
      <c r="M74" t="str">
        <f>IF(G74="","",(参数配置!O74*K74+参数配置!O75*(J74-(1-EXP(-200/参数配置!O78)))/((1-EXP(-1500/参数配置!O78))-(1-EXP(-200/参数配置!O78)))+参数配置!O76*(L74/(1-2^(-5)))+参数配置!O77*K74*(J74-(1-EXP(-200/参数配置!O78)))/((1-EXP(-1500/参数配置!O78))-(1-EXP(-200/参数配置!O78))))*100)</f>
        <v/>
      </c>
      <c r="N74" t="str">
        <f t="array" ref="N74">IF(G74&gt;0,RLD_Label(G74,H74,I74),"")</f>
        <v/>
      </c>
      <c r="O74">
        <v>2</v>
      </c>
      <c r="P74" s="25" t="str">
        <f>IFERROR(INDEX(参数配置!B:B,MATCH(O74,参数配置!A:A,0)),"")</f>
        <v>波动前进</v>
      </c>
    </row>
    <row r="75" ht="14.25" customHeight="1" spans="2:16">
      <c r="B75" s="24">
        <v>74</v>
      </c>
      <c r="C75" s="24" t="s">
        <v>25</v>
      </c>
      <c r="D75" s="24">
        <v>0.85</v>
      </c>
      <c r="E75" s="25"/>
      <c r="F75" s="25"/>
      <c r="G75" s="24"/>
      <c r="H75" s="25">
        <f>IF(ISBLANK('1-200关设定'!W75),"",'1-200关设定'!W75)</f>
        <v>5</v>
      </c>
      <c r="I75" s="25">
        <f>IF(ISBLANK('1-200关设定'!V75),"",'1-200关设定'!V75)</f>
        <v>2</v>
      </c>
      <c r="J75" t="str">
        <f>IF(G75="","",1-EXP(-G75/参数配置!O79))</f>
        <v/>
      </c>
      <c r="K75">
        <f t="shared" si="2"/>
        <v>0.5625</v>
      </c>
      <c r="L75">
        <f t="shared" si="3"/>
        <v>0.75</v>
      </c>
      <c r="M75" t="str">
        <f>IF(G75="","",(参数配置!O75*K75+参数配置!O76*(J75-(1-EXP(-200/参数配置!O79)))/((1-EXP(-1500/参数配置!O79))-(1-EXP(-200/参数配置!O79)))+参数配置!O77*(L75/(1-2^(-5)))+参数配置!O78*K75*(J75-(1-EXP(-200/参数配置!O79)))/((1-EXP(-1500/参数配置!O79))-(1-EXP(-200/参数配置!O79))))*100)</f>
        <v/>
      </c>
      <c r="N75" t="str">
        <f t="array" ref="N75">IF(G75&gt;0,RLD_Label(G75,H75,I75),"")</f>
        <v/>
      </c>
      <c r="O75">
        <v>2</v>
      </c>
      <c r="P75" s="25" t="str">
        <f>IFERROR(INDEX(参数配置!B:B,MATCH(O75,参数配置!A:A,0)),"")</f>
        <v>波动前进</v>
      </c>
    </row>
    <row r="76" ht="14.25" customHeight="1" spans="2:16">
      <c r="B76" s="24">
        <v>75</v>
      </c>
      <c r="C76" s="24" t="s">
        <v>25</v>
      </c>
      <c r="D76" s="24">
        <v>0.85</v>
      </c>
      <c r="E76" s="25"/>
      <c r="F76" s="25"/>
      <c r="G76" s="24"/>
      <c r="H76" s="25">
        <f>IF(ISBLANK('1-200关设定'!W76),"",'1-200关设定'!W76)</f>
        <v>4</v>
      </c>
      <c r="I76" s="25">
        <f>IF(ISBLANK('1-200关设定'!V76),"",'1-200关设定'!V76)</f>
        <v>4</v>
      </c>
      <c r="J76" t="str">
        <f>IF(G76="","",1-EXP(-G76/参数配置!O80))</f>
        <v/>
      </c>
      <c r="K76">
        <f t="shared" si="2"/>
        <v>0.25</v>
      </c>
      <c r="L76">
        <f t="shared" si="3"/>
        <v>0.9375</v>
      </c>
      <c r="M76" t="str">
        <f>IF(G76="","",(参数配置!O76*K76+参数配置!O77*(J76-(1-EXP(-200/参数配置!O80)))/((1-EXP(-1500/参数配置!O80))-(1-EXP(-200/参数配置!O80)))+参数配置!O78*(L76/(1-2^(-5)))+参数配置!O79*K76*(J76-(1-EXP(-200/参数配置!O80)))/((1-EXP(-1500/参数配置!O80))-(1-EXP(-200/参数配置!O80))))*100)</f>
        <v/>
      </c>
      <c r="N76" t="str">
        <f t="array" ref="N76">IF(G76&gt;0,RLD_Label(G76,H76,I76),"")</f>
        <v/>
      </c>
      <c r="O76">
        <v>6</v>
      </c>
      <c r="P76" s="25" t="str">
        <f>IFERROR(INDEX(参数配置!B:B,MATCH(O76,参数配置!A:A,0)),"")</f>
        <v>先易后难</v>
      </c>
    </row>
    <row r="77" ht="14.25" customHeight="1" spans="2:16">
      <c r="B77" s="24">
        <v>76</v>
      </c>
      <c r="C77" s="24" t="s">
        <v>25</v>
      </c>
      <c r="D77" s="24">
        <v>0.85</v>
      </c>
      <c r="E77" s="25"/>
      <c r="F77" s="25"/>
      <c r="G77" s="24"/>
      <c r="H77" s="25">
        <f>IF(ISBLANK('1-200关设定'!W77),"",'1-200关设定'!W77)</f>
        <v>4</v>
      </c>
      <c r="I77" s="25">
        <f>IF(ISBLANK('1-200关设定'!V77),"",'1-200关设定'!V77)</f>
        <v>5</v>
      </c>
      <c r="J77" t="str">
        <f>IF(G77="","",1-EXP(-G77/参数配置!O81))</f>
        <v/>
      </c>
      <c r="K77">
        <f t="shared" si="2"/>
        <v>0.25</v>
      </c>
      <c r="L77">
        <f t="shared" si="3"/>
        <v>0.96875</v>
      </c>
      <c r="M77" t="str">
        <f>IF(G77="","",(参数配置!O77*K77+参数配置!O78*(J77-(1-EXP(-200/参数配置!O81)))/((1-EXP(-1500/参数配置!O81))-(1-EXP(-200/参数配置!O81)))+参数配置!O79*(L77/(1-2^(-5)))+参数配置!O80*K77*(J77-(1-EXP(-200/参数配置!O81)))/((1-EXP(-1500/参数配置!O81))-(1-EXP(-200/参数配置!O81))))*100)</f>
        <v/>
      </c>
      <c r="N77" t="str">
        <f t="array" ref="N77">IF(G77&gt;0,RLD_Label(G77,H77,I77),"")</f>
        <v/>
      </c>
      <c r="O77">
        <v>3</v>
      </c>
      <c r="P77" s="25" t="str">
        <f>IFERROR(INDEX(参数配置!B:B,MATCH(O77,参数配置!A:A,0)),"")</f>
        <v>阶梯上升</v>
      </c>
    </row>
    <row r="78" ht="14.25" customHeight="1" spans="2:16">
      <c r="B78" s="24">
        <v>77</v>
      </c>
      <c r="C78" s="24" t="s">
        <v>32</v>
      </c>
      <c r="D78" s="24">
        <v>0.6</v>
      </c>
      <c r="E78" s="25"/>
      <c r="F78" s="25"/>
      <c r="G78" s="24"/>
      <c r="H78" s="25">
        <f>IF(ISBLANK('1-200关设定'!W78),"",'1-200关设定'!W78)</f>
        <v>5</v>
      </c>
      <c r="I78" s="25">
        <f>IF(ISBLANK('1-200关设定'!V78),"",'1-200关设定'!V78)</f>
        <v>2</v>
      </c>
      <c r="J78" t="str">
        <f>IF(G78="","",1-EXP(-G78/参数配置!O82))</f>
        <v/>
      </c>
      <c r="K78">
        <f t="shared" si="2"/>
        <v>0.5625</v>
      </c>
      <c r="L78">
        <f t="shared" si="3"/>
        <v>0.75</v>
      </c>
      <c r="M78" t="str">
        <f>IF(G78="","",(参数配置!O78*K78+参数配置!O79*(J78-(1-EXP(-200/参数配置!O82)))/((1-EXP(-1500/参数配置!O82))-(1-EXP(-200/参数配置!O82)))+参数配置!O80*(L78/(1-2^(-5)))+参数配置!O81*K78*(J78-(1-EXP(-200/参数配置!O82)))/((1-EXP(-1500/参数配置!O82))-(1-EXP(-200/参数配置!O82))))*100)</f>
        <v/>
      </c>
      <c r="N78" t="str">
        <f t="array" ref="N78">IF(G78&gt;0,RLD_Label(G78,H78,I78),"")</f>
        <v/>
      </c>
      <c r="O78">
        <v>2</v>
      </c>
      <c r="P78" s="25" t="str">
        <f>IFERROR(INDEX(参数配置!B:B,MATCH(O78,参数配置!A:A,0)),"")</f>
        <v>波动前进</v>
      </c>
    </row>
    <row r="79" ht="14.25" customHeight="1" spans="2:16">
      <c r="B79" s="24">
        <v>78</v>
      </c>
      <c r="C79" s="24" t="s">
        <v>25</v>
      </c>
      <c r="D79" s="24">
        <v>0.85</v>
      </c>
      <c r="E79" s="25"/>
      <c r="F79" s="25"/>
      <c r="G79" s="24"/>
      <c r="H79" s="25">
        <f>IF(ISBLANK('1-200关设定'!W79),"",'1-200关设定'!W79)</f>
        <v>4</v>
      </c>
      <c r="I79" s="25">
        <f>IF(ISBLANK('1-200关设定'!V79),"",'1-200关设定'!V79)</f>
        <v>3</v>
      </c>
      <c r="J79" t="str">
        <f>IF(G79="","",1-EXP(-G79/参数配置!O83))</f>
        <v/>
      </c>
      <c r="K79">
        <f t="shared" si="2"/>
        <v>0.25</v>
      </c>
      <c r="L79">
        <f t="shared" si="3"/>
        <v>0.875</v>
      </c>
      <c r="M79" t="str">
        <f>IF(G79="","",(参数配置!O79*K79+参数配置!O80*(J79-(1-EXP(-200/参数配置!O83)))/((1-EXP(-1500/参数配置!O83))-(1-EXP(-200/参数配置!O83)))+参数配置!O81*(L79/(1-2^(-5)))+参数配置!O82*K79*(J79-(1-EXP(-200/参数配置!O83)))/((1-EXP(-1500/参数配置!O83))-(1-EXP(-200/参数配置!O83))))*100)</f>
        <v/>
      </c>
      <c r="N79" t="str">
        <f t="array" ref="N79">IF(G79&gt;0,RLD_Label(G79,H79,I79),"")</f>
        <v/>
      </c>
      <c r="O79">
        <v>2</v>
      </c>
      <c r="P79" s="25" t="str">
        <f>IFERROR(INDEX(参数配置!B:B,MATCH(O79,参数配置!A:A,0)),"")</f>
        <v>波动前进</v>
      </c>
    </row>
    <row r="80" ht="14.25" customHeight="1" spans="2:16">
      <c r="B80" s="24">
        <v>79</v>
      </c>
      <c r="C80" s="24" t="s">
        <v>25</v>
      </c>
      <c r="D80" s="24">
        <v>0.85</v>
      </c>
      <c r="E80" s="25"/>
      <c r="F80" s="25"/>
      <c r="G80" s="24"/>
      <c r="H80" s="25">
        <f>IF(ISBLANK('1-200关设定'!W80),"",'1-200关设定'!W80)</f>
        <v>4</v>
      </c>
      <c r="I80" s="25">
        <f>IF(ISBLANK('1-200关设定'!V80),"",'1-200关设定'!V80)</f>
        <v>3</v>
      </c>
      <c r="J80" t="str">
        <f>IF(G80="","",1-EXP(-G80/参数配置!O84))</f>
        <v/>
      </c>
      <c r="K80">
        <f t="shared" si="2"/>
        <v>0.25</v>
      </c>
      <c r="L80">
        <f t="shared" si="3"/>
        <v>0.875</v>
      </c>
      <c r="M80" t="str">
        <f>IF(G80="","",(参数配置!O80*K80+参数配置!O81*(J80-(1-EXP(-200/参数配置!O84)))/((1-EXP(-1500/参数配置!O84))-(1-EXP(-200/参数配置!O84)))+参数配置!O82*(L80/(1-2^(-5)))+参数配置!O83*K80*(J80-(1-EXP(-200/参数配置!O84)))/((1-EXP(-1500/参数配置!O84))-(1-EXP(-200/参数配置!O84))))*100)</f>
        <v/>
      </c>
      <c r="N80" t="str">
        <f t="array" ref="N80">IF(G80&gt;0,RLD_Label(G80,H80,I80),"")</f>
        <v/>
      </c>
      <c r="O80">
        <v>3</v>
      </c>
      <c r="P80" s="25" t="str">
        <f>IFERROR(INDEX(参数配置!B:B,MATCH(O80,参数配置!A:A,0)),"")</f>
        <v>阶梯上升</v>
      </c>
    </row>
    <row r="81" ht="14.25" customHeight="1" spans="1:16">
      <c r="B81" s="24">
        <v>80</v>
      </c>
      <c r="C81" s="24" t="s">
        <v>32</v>
      </c>
      <c r="D81" s="24">
        <v>0.6</v>
      </c>
      <c r="E81" s="25"/>
      <c r="F81" s="25"/>
      <c r="G81" s="24"/>
      <c r="H81" s="25">
        <f>IF(ISBLANK('1-200关设定'!W81),"",'1-200关设定'!W81)</f>
        <v>5</v>
      </c>
      <c r="I81" s="25">
        <f>IF(ISBLANK('1-200关设定'!V81),"",'1-200关设定'!V81)</f>
        <v>1</v>
      </c>
      <c r="J81" t="str">
        <f>IF(G81="","",1-EXP(-G81/参数配置!O85))</f>
        <v/>
      </c>
      <c r="K81">
        <f t="shared" si="2"/>
        <v>0.5625</v>
      </c>
      <c r="L81">
        <f t="shared" si="3"/>
        <v>0.5</v>
      </c>
      <c r="M81" t="str">
        <f>IF(G81="","",(参数配置!O81*K81+参数配置!O82*(J81-(1-EXP(-200/参数配置!O85)))/((1-EXP(-1500/参数配置!O85))-(1-EXP(-200/参数配置!O85)))+参数配置!O83*(L81/(1-2^(-5)))+参数配置!O84*K81*(J81-(1-EXP(-200/参数配置!O85)))/((1-EXP(-1500/参数配置!O85))-(1-EXP(-200/参数配置!O85))))*100)</f>
        <v/>
      </c>
      <c r="N81" t="str">
        <f t="array" ref="N81">IF(G81&gt;0,RLD_Label(G81,H81,I81),"")</f>
        <v/>
      </c>
      <c r="O81">
        <v>3</v>
      </c>
      <c r="P81" s="25" t="str">
        <f>IFERROR(INDEX(参数配置!B:B,MATCH(O81,参数配置!A:A,0)),"")</f>
        <v>阶梯上升</v>
      </c>
    </row>
    <row r="82" ht="14.25" customHeight="1" spans="1:16">
      <c r="A82" s="23"/>
      <c r="B82" s="24">
        <v>81</v>
      </c>
      <c r="C82" s="24" t="s">
        <v>25</v>
      </c>
      <c r="D82" s="24">
        <v>0.85</v>
      </c>
      <c r="E82" s="25"/>
      <c r="F82" s="25"/>
      <c r="G82" s="24"/>
      <c r="H82" s="25">
        <f>IF(ISBLANK('1-200关设定'!W82),"",'1-200关设定'!W82)</f>
        <v>4</v>
      </c>
      <c r="I82" s="25">
        <f>IF(ISBLANK('1-200关设定'!V82),"",'1-200关设定'!V82)</f>
        <v>3</v>
      </c>
      <c r="J82" t="str">
        <f>IF(G82="","",1-EXP(-G82/参数配置!O86))</f>
        <v/>
      </c>
      <c r="K82">
        <f t="shared" si="2"/>
        <v>0.25</v>
      </c>
      <c r="L82">
        <f t="shared" si="3"/>
        <v>0.875</v>
      </c>
      <c r="M82" t="str">
        <f>IF(G82="","",(参数配置!O82*K82+参数配置!O83*(J82-(1-EXP(-200/参数配置!O86)))/((1-EXP(-1500/参数配置!O86))-(1-EXP(-200/参数配置!O86)))+参数配置!O84*(L82/(1-2^(-5)))+参数配置!O85*K82*(J82-(1-EXP(-200/参数配置!O86)))/((1-EXP(-1500/参数配置!O86))-(1-EXP(-200/参数配置!O86))))*100)</f>
        <v/>
      </c>
      <c r="N82" t="str">
        <f t="array" ref="N82">IF(G82&gt;0,RLD_Label(G82,H82,I82),"")</f>
        <v/>
      </c>
      <c r="O82">
        <v>2</v>
      </c>
      <c r="P82" s="25" t="str">
        <f>IFERROR(INDEX(参数配置!B:B,MATCH(O82,参数配置!A:A,0)),"")</f>
        <v>波动前进</v>
      </c>
    </row>
    <row r="83" ht="14.25" customHeight="1" spans="1:16">
      <c r="B83" s="24">
        <v>82</v>
      </c>
      <c r="C83" s="24" t="s">
        <v>25</v>
      </c>
      <c r="D83" s="24">
        <v>0.85</v>
      </c>
      <c r="E83" s="25"/>
      <c r="F83" s="25"/>
      <c r="G83" s="24"/>
      <c r="H83" s="25">
        <f>IF(ISBLANK('1-200关设定'!W83),"",'1-200关设定'!W83)</f>
        <v>4</v>
      </c>
      <c r="I83" s="25">
        <f>IF(ISBLANK('1-200关设定'!V83),"",'1-200关设定'!V83)</f>
        <v>3</v>
      </c>
      <c r="J83" t="str">
        <f>IF(G83="","",1-EXP(-G83/参数配置!O87))</f>
        <v/>
      </c>
      <c r="K83">
        <f t="shared" si="2"/>
        <v>0.25</v>
      </c>
      <c r="L83">
        <f t="shared" si="3"/>
        <v>0.875</v>
      </c>
      <c r="M83" t="str">
        <f>IF(G83="","",(参数配置!O83*K83+参数配置!O84*(J83-(1-EXP(-200/参数配置!O87)))/((1-EXP(-1500/参数配置!O87))-(1-EXP(-200/参数配置!O87)))+参数配置!O85*(L83/(1-2^(-5)))+参数配置!O86*K83*(J83-(1-EXP(-200/参数配置!O87)))/((1-EXP(-1500/参数配置!O87))-(1-EXP(-200/参数配置!O87))))*100)</f>
        <v/>
      </c>
      <c r="N83" t="str">
        <f t="array" ref="N83">IF(G83&gt;0,RLD_Label(G83,H83,I83),"")</f>
        <v/>
      </c>
      <c r="O83">
        <v>2</v>
      </c>
      <c r="P83" s="25" t="str">
        <f>IFERROR(INDEX(参数配置!B:B,MATCH(O83,参数配置!A:A,0)),"")</f>
        <v>波动前进</v>
      </c>
    </row>
    <row r="84" ht="14.25" customHeight="1" spans="1:16">
      <c r="B84" s="24">
        <v>83</v>
      </c>
      <c r="C84" s="24" t="s">
        <v>32</v>
      </c>
      <c r="D84" s="24">
        <v>0.6</v>
      </c>
      <c r="E84" s="25"/>
      <c r="F84" s="25"/>
      <c r="G84" s="24"/>
      <c r="H84" s="25">
        <f>IF(ISBLANK('1-200关设定'!W84),"",'1-200关设定'!W84)</f>
        <v>4</v>
      </c>
      <c r="I84" s="25">
        <f>IF(ISBLANK('1-200关设定'!V84),"",'1-200关设定'!V84)</f>
        <v>3</v>
      </c>
      <c r="J84" t="str">
        <f>IF(G84="","",1-EXP(-G84/参数配置!O88))</f>
        <v/>
      </c>
      <c r="K84">
        <f t="shared" si="2"/>
        <v>0.25</v>
      </c>
      <c r="L84">
        <f t="shared" si="3"/>
        <v>0.875</v>
      </c>
      <c r="M84" t="str">
        <f>IF(G84="","",(参数配置!O84*K84+参数配置!O85*(J84-(1-EXP(-200/参数配置!O88)))/((1-EXP(-1500/参数配置!O88))-(1-EXP(-200/参数配置!O88)))+参数配置!O86*(L84/(1-2^(-5)))+参数配置!O87*K84*(J84-(1-EXP(-200/参数配置!O88)))/((1-EXP(-1500/参数配置!O88))-(1-EXP(-200/参数配置!O88))))*100)</f>
        <v/>
      </c>
      <c r="N84" t="str">
        <f t="array" ref="N84">IF(G84&gt;0,RLD_Label(G84,H84,I84),"")</f>
        <v/>
      </c>
      <c r="O84">
        <v>3</v>
      </c>
      <c r="P84" s="25" t="str">
        <f>IFERROR(INDEX(参数配置!B:B,MATCH(O84,参数配置!A:A,0)),"")</f>
        <v>阶梯上升</v>
      </c>
    </row>
    <row r="85" ht="14.25" customHeight="1" spans="1:16">
      <c r="B85" s="24">
        <v>84</v>
      </c>
      <c r="C85" s="24" t="s">
        <v>25</v>
      </c>
      <c r="D85" s="24">
        <v>0.85</v>
      </c>
      <c r="E85" s="25"/>
      <c r="F85" s="25"/>
      <c r="G85" s="24"/>
      <c r="H85" s="25">
        <f>IF(ISBLANK('1-200关设定'!W85),"",'1-200关设定'!W85)</f>
        <v>4</v>
      </c>
      <c r="I85" s="25">
        <f>IF(ISBLANK('1-200关设定'!V85),"",'1-200关设定'!V85)</f>
        <v>3</v>
      </c>
      <c r="J85" t="str">
        <f>IF(G85="","",1-EXP(-G85/参数配置!O89))</f>
        <v/>
      </c>
      <c r="K85">
        <f t="shared" si="2"/>
        <v>0.25</v>
      </c>
      <c r="L85">
        <f t="shared" si="3"/>
        <v>0.875</v>
      </c>
      <c r="M85" t="str">
        <f>IF(G85="","",(参数配置!O85*K85+参数配置!O86*(J85-(1-EXP(-200/参数配置!O89)))/((1-EXP(-1500/参数配置!O89))-(1-EXP(-200/参数配置!O89)))+参数配置!O87*(L85/(1-2^(-5)))+参数配置!O88*K85*(J85-(1-EXP(-200/参数配置!O89)))/((1-EXP(-1500/参数配置!O89))-(1-EXP(-200/参数配置!O89))))*100)</f>
        <v/>
      </c>
      <c r="N85" t="str">
        <f t="array" ref="N85">IF(G85&gt;0,RLD_Label(G85,H85,I85),"")</f>
        <v/>
      </c>
      <c r="O85">
        <v>6</v>
      </c>
      <c r="P85" s="25" t="str">
        <f>IFERROR(INDEX(参数配置!B:B,MATCH(O85,参数配置!A:A,0)),"")</f>
        <v>先易后难</v>
      </c>
    </row>
    <row r="86" ht="14.25" customHeight="1" spans="1:16">
      <c r="B86" s="24">
        <v>85</v>
      </c>
      <c r="C86" s="24" t="s">
        <v>25</v>
      </c>
      <c r="D86" s="24">
        <v>0.85</v>
      </c>
      <c r="E86" s="25"/>
      <c r="F86" s="25"/>
      <c r="G86" s="24"/>
      <c r="H86" s="25">
        <f>IF(ISBLANK('1-200关设定'!W86),"",'1-200关设定'!W86)</f>
        <v>4</v>
      </c>
      <c r="I86" s="25">
        <f>IF(ISBLANK('1-200关设定'!V86),"",'1-200关设定'!V86)</f>
        <v>3</v>
      </c>
      <c r="J86" t="str">
        <f>IF(G86="","",1-EXP(-G86/参数配置!O90))</f>
        <v/>
      </c>
      <c r="K86">
        <f t="shared" si="2"/>
        <v>0.25</v>
      </c>
      <c r="L86">
        <f t="shared" si="3"/>
        <v>0.875</v>
      </c>
      <c r="M86" t="str">
        <f>IF(G86="","",(参数配置!O86*K86+参数配置!O87*(J86-(1-EXP(-200/参数配置!O90)))/((1-EXP(-1500/参数配置!O90))-(1-EXP(-200/参数配置!O90)))+参数配置!O88*(L86/(1-2^(-5)))+参数配置!O89*K86*(J86-(1-EXP(-200/参数配置!O90)))/((1-EXP(-1500/参数配置!O90))-(1-EXP(-200/参数配置!O90))))*100)</f>
        <v/>
      </c>
      <c r="N86" t="str">
        <f t="array" ref="N86">IF(G86&gt;0,RLD_Label(G86,H86,I86),"")</f>
        <v/>
      </c>
      <c r="O86">
        <v>3</v>
      </c>
      <c r="P86" s="25" t="str">
        <f>IFERROR(INDEX(参数配置!B:B,MATCH(O86,参数配置!A:A,0)),"")</f>
        <v>阶梯上升</v>
      </c>
    </row>
    <row r="87" ht="14.25" customHeight="1" spans="1:16">
      <c r="B87" s="24">
        <v>86</v>
      </c>
      <c r="C87" s="24" t="s">
        <v>25</v>
      </c>
      <c r="D87" s="24">
        <v>0.85</v>
      </c>
      <c r="E87" s="25"/>
      <c r="F87" s="25"/>
      <c r="G87" s="24"/>
      <c r="H87" s="25">
        <f>IF(ISBLANK('1-200关设定'!W87),"",'1-200关设定'!W87)</f>
        <v>4</v>
      </c>
      <c r="I87" s="25">
        <f>IF(ISBLANK('1-200关设定'!V87),"",'1-200关设定'!V87)</f>
        <v>4</v>
      </c>
      <c r="J87" t="str">
        <f>IF(G87="","",1-EXP(-G87/参数配置!O91))</f>
        <v/>
      </c>
      <c r="K87">
        <f t="shared" si="2"/>
        <v>0.25</v>
      </c>
      <c r="L87">
        <f t="shared" si="3"/>
        <v>0.9375</v>
      </c>
      <c r="M87" t="str">
        <f>IF(G87="","",(参数配置!O87*K87+参数配置!O88*(J87-(1-EXP(-200/参数配置!O91)))/((1-EXP(-1500/参数配置!O91))-(1-EXP(-200/参数配置!O91)))+参数配置!O89*(L87/(1-2^(-5)))+参数配置!O90*K87*(J87-(1-EXP(-200/参数配置!O91)))/((1-EXP(-1500/参数配置!O91))-(1-EXP(-200/参数配置!O91))))*100)</f>
        <v/>
      </c>
      <c r="N87" t="str">
        <f t="array" ref="N87">IF(G87&gt;0,RLD_Label(G87,H87,I87),"")</f>
        <v/>
      </c>
      <c r="O87">
        <v>4</v>
      </c>
      <c r="P87" s="25" t="str">
        <f>IFERROR(INDEX(参数配置!B:B,MATCH(O87,参数配置!A:A,0)),"")</f>
        <v>双峰值</v>
      </c>
    </row>
    <row r="88" ht="14.25" customHeight="1" spans="1:16">
      <c r="B88" s="24">
        <v>87</v>
      </c>
      <c r="C88" s="24" t="s">
        <v>25</v>
      </c>
      <c r="D88" s="24">
        <v>0.85</v>
      </c>
      <c r="E88" s="25"/>
      <c r="F88" s="25"/>
      <c r="G88" s="24"/>
      <c r="H88" s="25">
        <f>IF(ISBLANK('1-200关设定'!W88),"",'1-200关设定'!W88)</f>
        <v>5</v>
      </c>
      <c r="I88" s="25">
        <f>IF(ISBLANK('1-200关设定'!V88),"",'1-200关设定'!V88)</f>
        <v>1</v>
      </c>
      <c r="J88" t="str">
        <f>IF(G88="","",1-EXP(-G88/参数配置!O92))</f>
        <v/>
      </c>
      <c r="K88">
        <f t="shared" si="2"/>
        <v>0.5625</v>
      </c>
      <c r="L88">
        <f t="shared" si="3"/>
        <v>0.5</v>
      </c>
      <c r="M88" t="str">
        <f>IF(G88="","",(参数配置!O88*K88+参数配置!O89*(J88-(1-EXP(-200/参数配置!O92)))/((1-EXP(-1500/参数配置!O92))-(1-EXP(-200/参数配置!O92)))+参数配置!O90*(L88/(1-2^(-5)))+参数配置!O91*K88*(J88-(1-EXP(-200/参数配置!O92)))/((1-EXP(-1500/参数配置!O92))-(1-EXP(-200/参数配置!O92))))*100)</f>
        <v/>
      </c>
      <c r="N88" t="str">
        <f t="array" ref="N88">IF(G88&gt;0,RLD_Label(G88,H88,I88),"")</f>
        <v/>
      </c>
      <c r="O88">
        <v>2</v>
      </c>
      <c r="P88" s="25" t="str">
        <f>IFERROR(INDEX(参数配置!B:B,MATCH(O88,参数配置!A:A,0)),"")</f>
        <v>波动前进</v>
      </c>
    </row>
    <row r="89" ht="14.25" customHeight="1" spans="1:16">
      <c r="B89" s="24">
        <v>88</v>
      </c>
      <c r="C89" s="24" t="s">
        <v>41</v>
      </c>
      <c r="D89" s="24">
        <v>0.4</v>
      </c>
      <c r="E89" s="25"/>
      <c r="F89" s="25"/>
      <c r="G89" s="24"/>
      <c r="H89" s="25">
        <f>IF(ISBLANK('1-200关设定'!W89),"",'1-200关设定'!W89)</f>
        <v>4</v>
      </c>
      <c r="I89" s="25">
        <f>IF(ISBLANK('1-200关设定'!V89),"",'1-200关设定'!V89)</f>
        <v>4</v>
      </c>
      <c r="J89" t="str">
        <f>IF(G89="","",1-EXP(-G89/参数配置!O93))</f>
        <v/>
      </c>
      <c r="K89">
        <f t="shared" si="2"/>
        <v>0.25</v>
      </c>
      <c r="L89">
        <f t="shared" si="3"/>
        <v>0.9375</v>
      </c>
      <c r="M89" t="str">
        <f>IF(G89="","",(参数配置!O89*K89+参数配置!O90*(J89-(1-EXP(-200/参数配置!O93)))/((1-EXP(-1500/参数配置!O93))-(1-EXP(-200/参数配置!O93)))+参数配置!O91*(L89/(1-2^(-5)))+参数配置!O92*K89*(J89-(1-EXP(-200/参数配置!O93)))/((1-EXP(-1500/参数配置!O93))-(1-EXP(-200/参数配置!O93))))*100)</f>
        <v/>
      </c>
      <c r="N89" t="str">
        <f t="array" ref="N89">IF(G89&gt;0,RLD_Label(G89,H89,I89),"")</f>
        <v/>
      </c>
      <c r="O89">
        <v>2</v>
      </c>
      <c r="P89" s="25" t="str">
        <f>IFERROR(INDEX(参数配置!B:B,MATCH(O89,参数配置!A:A,0)),"")</f>
        <v>波动前进</v>
      </c>
    </row>
    <row r="90" ht="14.25" customHeight="1" spans="1:16">
      <c r="B90" s="24">
        <v>89</v>
      </c>
      <c r="C90" s="24" t="s">
        <v>25</v>
      </c>
      <c r="D90" s="24">
        <v>0.85</v>
      </c>
      <c r="E90" s="25"/>
      <c r="F90" s="25"/>
      <c r="G90" s="24"/>
      <c r="H90" s="25">
        <f>IF(ISBLANK('1-200关设定'!W90),"",'1-200关设定'!W90)</f>
        <v>3</v>
      </c>
      <c r="I90" s="25">
        <f>IF(ISBLANK('1-200关设定'!V90),"",'1-200关设定'!V90)</f>
        <v>3</v>
      </c>
      <c r="J90" t="str">
        <f>IF(G90="","",1-EXP(-G90/参数配置!O94))</f>
        <v/>
      </c>
      <c r="K90">
        <f t="shared" si="2"/>
        <v>0.0625</v>
      </c>
      <c r="L90">
        <f t="shared" si="3"/>
        <v>0.875</v>
      </c>
      <c r="M90" t="str">
        <f>IF(G90="","",(参数配置!O90*K90+参数配置!O91*(J90-(1-EXP(-200/参数配置!O94)))/((1-EXP(-1500/参数配置!O94))-(1-EXP(-200/参数配置!O94)))+参数配置!O92*(L90/(1-2^(-5)))+参数配置!O93*K90*(J90-(1-EXP(-200/参数配置!O94)))/((1-EXP(-1500/参数配置!O94))-(1-EXP(-200/参数配置!O94))))*100)</f>
        <v/>
      </c>
      <c r="N90" t="str">
        <f t="array" ref="N90">IF(G90&gt;0,RLD_Label(G90,H90,I90),"")</f>
        <v/>
      </c>
      <c r="O90">
        <v>3</v>
      </c>
      <c r="P90" s="25" t="str">
        <f>IFERROR(INDEX(参数配置!B:B,MATCH(O90,参数配置!A:A,0)),"")</f>
        <v>阶梯上升</v>
      </c>
    </row>
    <row r="91" ht="14.25" customHeight="1" spans="1:16">
      <c r="B91" s="24">
        <v>90</v>
      </c>
      <c r="C91" s="24" t="s">
        <v>25</v>
      </c>
      <c r="D91" s="24">
        <v>0.85</v>
      </c>
      <c r="E91" s="25"/>
      <c r="F91" s="25"/>
      <c r="G91" s="24"/>
      <c r="H91" s="25">
        <f>IF(ISBLANK('1-200关设定'!W91),"",'1-200关设定'!W91)</f>
        <v>4</v>
      </c>
      <c r="I91" s="25">
        <f>IF(ISBLANK('1-200关设定'!V91),"",'1-200关设定'!V91)</f>
        <v>4</v>
      </c>
      <c r="J91" t="str">
        <f>IF(G91="","",1-EXP(-G91/参数配置!O95))</f>
        <v/>
      </c>
      <c r="K91">
        <f t="shared" si="2"/>
        <v>0.25</v>
      </c>
      <c r="L91">
        <f t="shared" si="3"/>
        <v>0.9375</v>
      </c>
      <c r="M91" t="str">
        <f>IF(G91="","",(参数配置!O91*K91+参数配置!O92*(J91-(1-EXP(-200/参数配置!O95)))/((1-EXP(-1500/参数配置!O95))-(1-EXP(-200/参数配置!O95)))+参数配置!O93*(L91/(1-2^(-5)))+参数配置!O94*K91*(J91-(1-EXP(-200/参数配置!O95)))/((1-EXP(-1500/参数配置!O95))-(1-EXP(-200/参数配置!O95))))*100)</f>
        <v/>
      </c>
      <c r="N91" t="str">
        <f t="array" ref="N91">IF(G91&gt;0,RLD_Label(G91,H91,I91),"")</f>
        <v/>
      </c>
      <c r="O91">
        <v>3</v>
      </c>
      <c r="P91" s="25" t="str">
        <f>IFERROR(INDEX(参数配置!B:B,MATCH(O91,参数配置!A:A,0)),"")</f>
        <v>阶梯上升</v>
      </c>
    </row>
    <row r="92" ht="14.25" customHeight="1" spans="1:16">
      <c r="A92" s="23" t="s">
        <v>54</v>
      </c>
      <c r="B92" s="24">
        <v>91</v>
      </c>
      <c r="C92" s="24" t="s">
        <v>25</v>
      </c>
      <c r="D92" s="24">
        <v>0.85</v>
      </c>
      <c r="E92" s="25" t="s">
        <v>54</v>
      </c>
      <c r="F92" s="25"/>
      <c r="G92" s="24"/>
      <c r="H92" s="25">
        <f>IF(ISBLANK('1-200关设定'!W92),"",'1-200关设定'!W92)</f>
        <v>4</v>
      </c>
      <c r="I92" s="25">
        <f>IF(ISBLANK('1-200关设定'!V92),"",'1-200关设定'!V92)</f>
        <v>1</v>
      </c>
      <c r="J92" t="str">
        <f>IF(G92="","",1-EXP(-G92/参数配置!O96))</f>
        <v/>
      </c>
      <c r="K92">
        <f t="shared" si="2"/>
        <v>0.25</v>
      </c>
      <c r="L92">
        <f t="shared" si="3"/>
        <v>0.5</v>
      </c>
      <c r="M92" t="str">
        <f>IF(G92="","",(参数配置!O92*K92+参数配置!O93*(J92-(1-EXP(-200/参数配置!O96)))/((1-EXP(-1500/参数配置!O96))-(1-EXP(-200/参数配置!O96)))+参数配置!O94*(L92/(1-2^(-5)))+参数配置!O95*K92*(J92-(1-EXP(-200/参数配置!O96)))/((1-EXP(-1500/参数配置!O96))-(1-EXP(-200/参数配置!O96))))*100)</f>
        <v/>
      </c>
      <c r="N92" t="str">
        <f t="array" ref="N92">IF(G92&gt;0,RLD_Label(G92,H92,I92),"")</f>
        <v/>
      </c>
      <c r="O92">
        <v>6</v>
      </c>
      <c r="P92" s="25" t="str">
        <f>IFERROR(INDEX(参数配置!B:B,MATCH(O92,参数配置!A:A,0)),"")</f>
        <v>先易后难</v>
      </c>
    </row>
    <row r="93" ht="14.25" customHeight="1" spans="1:16">
      <c r="B93" s="24">
        <v>92</v>
      </c>
      <c r="C93" s="24" t="s">
        <v>25</v>
      </c>
      <c r="D93" s="24">
        <v>0.85</v>
      </c>
      <c r="E93" s="25"/>
      <c r="F93" s="25"/>
      <c r="G93" s="24"/>
      <c r="H93" s="25">
        <f>IF(ISBLANK('1-200关设定'!W93),"",'1-200关设定'!W93)</f>
        <v>4</v>
      </c>
      <c r="I93" s="25">
        <f>IF(ISBLANK('1-200关设定'!V93),"",'1-200关设定'!V93)</f>
        <v>2</v>
      </c>
      <c r="J93" t="str">
        <f>IF(G93="","",1-EXP(-G93/参数配置!O97))</f>
        <v/>
      </c>
      <c r="K93">
        <f t="shared" si="2"/>
        <v>0.25</v>
      </c>
      <c r="L93">
        <f t="shared" si="3"/>
        <v>0.75</v>
      </c>
      <c r="M93" t="str">
        <f>IF(G93="","",(参数配置!O93*K93+参数配置!O94*(J93-(1-EXP(-200/参数配置!O97)))/((1-EXP(-1500/参数配置!O97))-(1-EXP(-200/参数配置!O97)))+参数配置!O95*(L93/(1-2^(-5)))+参数配置!O96*K93*(J93-(1-EXP(-200/参数配置!O97)))/((1-EXP(-1500/参数配置!O97))-(1-EXP(-200/参数配置!O97))))*100)</f>
        <v/>
      </c>
      <c r="N93" t="str">
        <f t="array" ref="N93">IF(G93&gt;0,RLD_Label(G93,H93,I93),"")</f>
        <v/>
      </c>
      <c r="O93">
        <v>2</v>
      </c>
      <c r="P93" s="25" t="str">
        <f>IFERROR(INDEX(参数配置!B:B,MATCH(O93,参数配置!A:A,0)),"")</f>
        <v>波动前进</v>
      </c>
    </row>
    <row r="94" ht="14.25" customHeight="1" spans="1:16">
      <c r="B94" s="24">
        <v>93</v>
      </c>
      <c r="C94" s="24" t="s">
        <v>25</v>
      </c>
      <c r="D94" s="24">
        <v>0.85</v>
      </c>
      <c r="E94" s="25"/>
      <c r="F94" s="25"/>
      <c r="G94" s="24"/>
      <c r="H94" s="25">
        <f>IF(ISBLANK('1-200关设定'!W94),"",'1-200关设定'!W94)</f>
        <v>4</v>
      </c>
      <c r="I94" s="25">
        <f>IF(ISBLANK('1-200关设定'!V94),"",'1-200关设定'!V94)</f>
        <v>4</v>
      </c>
      <c r="J94" t="str">
        <f>IF(G94="","",1-EXP(-G94/参数配置!O98))</f>
        <v/>
      </c>
      <c r="K94">
        <f t="shared" si="2"/>
        <v>0.25</v>
      </c>
      <c r="L94">
        <f t="shared" si="3"/>
        <v>0.9375</v>
      </c>
      <c r="M94" t="str">
        <f>IF(G94="","",(参数配置!O94*K94+参数配置!O95*(J94-(1-EXP(-200/参数配置!O98)))/((1-EXP(-1500/参数配置!O98))-(1-EXP(-200/参数配置!O98)))+参数配置!O96*(L94/(1-2^(-5)))+参数配置!O97*K94*(J94-(1-EXP(-200/参数配置!O98)))/((1-EXP(-1500/参数配置!O98))-(1-EXP(-200/参数配置!O98))))*100)</f>
        <v/>
      </c>
      <c r="N94" t="str">
        <f t="array" ref="N94">IF(G94&gt;0,RLD_Label(G94,H94,I94),"")</f>
        <v/>
      </c>
      <c r="O94">
        <v>2</v>
      </c>
      <c r="P94" s="25" t="str">
        <f>IFERROR(INDEX(参数配置!B:B,MATCH(O94,参数配置!A:A,0)),"")</f>
        <v>波动前进</v>
      </c>
    </row>
    <row r="95" ht="14.25" customHeight="1" spans="1:16">
      <c r="B95" s="24">
        <v>94</v>
      </c>
      <c r="C95" s="24" t="s">
        <v>32</v>
      </c>
      <c r="D95" s="24">
        <v>0.6</v>
      </c>
      <c r="E95" s="25"/>
      <c r="F95" s="25"/>
      <c r="G95" s="24"/>
      <c r="H95" s="25">
        <f>IF(ISBLANK('1-200关设定'!W95),"",'1-200关设定'!W95)</f>
        <v>4</v>
      </c>
      <c r="I95" s="25">
        <f>IF(ISBLANK('1-200关设定'!V95),"",'1-200关设定'!V95)</f>
        <v>3</v>
      </c>
      <c r="J95" t="str">
        <f>IF(G95="","",1-EXP(-G95/参数配置!O99))</f>
        <v/>
      </c>
      <c r="K95">
        <f t="shared" si="2"/>
        <v>0.25</v>
      </c>
      <c r="L95">
        <f t="shared" si="3"/>
        <v>0.875</v>
      </c>
      <c r="M95" t="str">
        <f>IF(G95="","",(参数配置!O95*K95+参数配置!O96*(J95-(1-EXP(-200/参数配置!O99)))/((1-EXP(-1500/参数配置!O99))-(1-EXP(-200/参数配置!O99)))+参数配置!O97*(L95/(1-2^(-5)))+参数配置!O98*K95*(J95-(1-EXP(-200/参数配置!O99)))/((1-EXP(-1500/参数配置!O99))-(1-EXP(-200/参数配置!O99))))*100)</f>
        <v/>
      </c>
      <c r="N95" t="str">
        <f t="array" ref="N95">IF(G95&gt;0,RLD_Label(G95,H95,I95),"")</f>
        <v/>
      </c>
      <c r="O95">
        <v>3</v>
      </c>
      <c r="P95" s="25" t="str">
        <f>IFERROR(INDEX(参数配置!B:B,MATCH(O95,参数配置!A:A,0)),"")</f>
        <v>阶梯上升</v>
      </c>
    </row>
    <row r="96" ht="14.25" customHeight="1" spans="1:16">
      <c r="B96" s="24">
        <v>95</v>
      </c>
      <c r="C96" s="24" t="s">
        <v>25</v>
      </c>
      <c r="D96" s="24">
        <v>0.85</v>
      </c>
      <c r="E96" s="25"/>
      <c r="F96" s="25"/>
      <c r="G96" s="24"/>
      <c r="H96" s="25">
        <f>IF(ISBLANK('1-200关设定'!W96),"",'1-200关设定'!W96)</f>
        <v>4</v>
      </c>
      <c r="I96" s="25">
        <f>IF(ISBLANK('1-200关设定'!V96),"",'1-200关设定'!V96)</f>
        <v>4</v>
      </c>
      <c r="J96" t="str">
        <f>IF(G96="","",1-EXP(-G96/参数配置!O100))</f>
        <v/>
      </c>
      <c r="K96">
        <f t="shared" si="2"/>
        <v>0.25</v>
      </c>
      <c r="L96">
        <f t="shared" si="3"/>
        <v>0.9375</v>
      </c>
      <c r="M96" t="str">
        <f>IF(G96="","",(参数配置!O96*K96+参数配置!O97*(J96-(1-EXP(-200/参数配置!O100)))/((1-EXP(-1500/参数配置!O100))-(1-EXP(-200/参数配置!O100)))+参数配置!O98*(L96/(1-2^(-5)))+参数配置!O99*K96*(J96-(1-EXP(-200/参数配置!O100)))/((1-EXP(-1500/参数配置!O100))-(1-EXP(-200/参数配置!O100))))*100)</f>
        <v/>
      </c>
      <c r="N96" t="str">
        <f t="array" ref="N96">IF(G96&gt;0,RLD_Label(G96,H96,I96),"")</f>
        <v/>
      </c>
      <c r="O96">
        <v>4</v>
      </c>
      <c r="P96" s="25" t="str">
        <f>IFERROR(INDEX(参数配置!B:B,MATCH(O96,参数配置!A:A,0)),"")</f>
        <v>双峰值</v>
      </c>
    </row>
    <row r="97" ht="14.25" customHeight="1" spans="1:16">
      <c r="B97" s="24">
        <v>96</v>
      </c>
      <c r="C97" s="24" t="s">
        <v>32</v>
      </c>
      <c r="D97" s="24">
        <v>0.6</v>
      </c>
      <c r="E97" s="25"/>
      <c r="F97" s="25"/>
      <c r="G97" s="24"/>
      <c r="H97" s="25">
        <f>IF(ISBLANK('1-200关设定'!W97),"",'1-200关设定'!W97)</f>
        <v>4</v>
      </c>
      <c r="I97" s="25">
        <f>IF(ISBLANK('1-200关设定'!V97),"",'1-200关设定'!V97)</f>
        <v>4</v>
      </c>
      <c r="J97" t="str">
        <f>IF(G97="","",1-EXP(-G97/参数配置!O101))</f>
        <v/>
      </c>
      <c r="K97">
        <f t="shared" si="2"/>
        <v>0.25</v>
      </c>
      <c r="L97">
        <f t="shared" si="3"/>
        <v>0.9375</v>
      </c>
      <c r="M97" t="str">
        <f>IF(G97="","",(参数配置!O97*K97+参数配置!O98*(J97-(1-EXP(-200/参数配置!O101)))/((1-EXP(-1500/参数配置!O101))-(1-EXP(-200/参数配置!O101)))+参数配置!O99*(L97/(1-2^(-5)))+参数配置!O100*K97*(J97-(1-EXP(-200/参数配置!O101)))/((1-EXP(-1500/参数配置!O101))-(1-EXP(-200/参数配置!O101))))*100)</f>
        <v/>
      </c>
      <c r="N97" t="str">
        <f t="array" ref="N97">IF(G97&gt;0,RLD_Label(G97,H97,I97),"")</f>
        <v/>
      </c>
      <c r="O97">
        <v>2</v>
      </c>
      <c r="P97" s="25" t="str">
        <f>IFERROR(INDEX(参数配置!B:B,MATCH(O97,参数配置!A:A,0)),"")</f>
        <v>波动前进</v>
      </c>
    </row>
    <row r="98" ht="14.25" customHeight="1" spans="1:16">
      <c r="B98" s="24">
        <v>97</v>
      </c>
      <c r="C98" s="24" t="s">
        <v>25</v>
      </c>
      <c r="D98" s="24">
        <v>0.85</v>
      </c>
      <c r="E98" s="25"/>
      <c r="F98" s="25"/>
      <c r="G98" s="24"/>
      <c r="H98" s="25">
        <f>IF(ISBLANK('1-200关设定'!W98),"",'1-200关设定'!W98)</f>
        <v>4</v>
      </c>
      <c r="I98" s="25">
        <f>IF(ISBLANK('1-200关设定'!V98),"",'1-200关设定'!V98)</f>
        <v>2</v>
      </c>
      <c r="J98" t="str">
        <f>IF(G98="","",1-EXP(-G98/参数配置!O102))</f>
        <v/>
      </c>
      <c r="K98">
        <f t="shared" si="2"/>
        <v>0.25</v>
      </c>
      <c r="L98">
        <f t="shared" si="3"/>
        <v>0.75</v>
      </c>
      <c r="M98" t="str">
        <f>IF(G98="","",(参数配置!O98*K98+参数配置!O99*(J98-(1-EXP(-200/参数配置!O102)))/((1-EXP(-1500/参数配置!O102))-(1-EXP(-200/参数配置!O102)))+参数配置!O100*(L98/(1-2^(-5)))+参数配置!O101*K98*(J98-(1-EXP(-200/参数配置!O102)))/((1-EXP(-1500/参数配置!O102))-(1-EXP(-200/参数配置!O102))))*100)</f>
        <v/>
      </c>
      <c r="N98" t="str">
        <f t="array" ref="N98">IF(G98&gt;0,RLD_Label(G98,H98,I98),"")</f>
        <v/>
      </c>
      <c r="O98">
        <v>2</v>
      </c>
      <c r="P98" s="25" t="str">
        <f>IFERROR(INDEX(参数配置!B:B,MATCH(O98,参数配置!A:A,0)),"")</f>
        <v>波动前进</v>
      </c>
    </row>
    <row r="99" ht="14.25" customHeight="1" spans="1:16">
      <c r="B99" s="24">
        <v>98</v>
      </c>
      <c r="C99" s="24" t="s">
        <v>41</v>
      </c>
      <c r="D99" s="24">
        <v>0.4</v>
      </c>
      <c r="E99" s="25"/>
      <c r="F99" s="25"/>
      <c r="G99" s="24"/>
      <c r="H99" s="25">
        <f>IF(ISBLANK('1-200关设定'!W99),"",'1-200关设定'!W99)</f>
        <v>5</v>
      </c>
      <c r="I99" s="25">
        <f>IF(ISBLANK('1-200关设定'!V99),"",'1-200关设定'!V99)</f>
        <v>2</v>
      </c>
      <c r="J99" t="str">
        <f>IF(G99="","",1-EXP(-G99/参数配置!O103))</f>
        <v/>
      </c>
      <c r="K99">
        <f t="shared" si="2"/>
        <v>0.5625</v>
      </c>
      <c r="L99">
        <f t="shared" si="3"/>
        <v>0.75</v>
      </c>
      <c r="M99" t="str">
        <f>IF(G99="","",(参数配置!O99*K99+参数配置!O100*(J99-(1-EXP(-200/参数配置!O103)))/((1-EXP(-1500/参数配置!O103))-(1-EXP(-200/参数配置!O103)))+参数配置!O101*(L99/(1-2^(-5)))+参数配置!O102*K99*(J99-(1-EXP(-200/参数配置!O103)))/((1-EXP(-1500/参数配置!O103))-(1-EXP(-200/参数配置!O103))))*100)</f>
        <v/>
      </c>
      <c r="N99" t="str">
        <f t="array" ref="N99">IF(G99&gt;0,RLD_Label(G99,H99,I99),"")</f>
        <v/>
      </c>
      <c r="O99">
        <v>6</v>
      </c>
      <c r="P99" s="25" t="str">
        <f>IFERROR(INDEX(参数配置!B:B,MATCH(O99,参数配置!A:A,0)),"")</f>
        <v>先易后难</v>
      </c>
    </row>
    <row r="100" ht="14.25" customHeight="1" spans="1:16">
      <c r="B100" s="24">
        <v>99</v>
      </c>
      <c r="C100" s="24" t="s">
        <v>25</v>
      </c>
      <c r="D100" s="24">
        <v>0.85</v>
      </c>
      <c r="E100" s="25"/>
      <c r="F100" s="25"/>
      <c r="G100" s="24"/>
      <c r="H100" s="25">
        <f>IF(ISBLANK('1-200关设定'!W100),"",'1-200关设定'!W100)</f>
        <v>4</v>
      </c>
      <c r="I100" s="25">
        <f>IF(ISBLANK('1-200关设定'!V100),"",'1-200关设定'!V100)</f>
        <v>3</v>
      </c>
      <c r="J100" t="str">
        <f>IF(G100="","",1-EXP(-G100/参数配置!O104))</f>
        <v/>
      </c>
      <c r="K100">
        <f t="shared" si="2"/>
        <v>0.25</v>
      </c>
      <c r="L100">
        <f t="shared" si="3"/>
        <v>0.875</v>
      </c>
      <c r="M100" t="str">
        <f>IF(G100="","",(参数配置!O100*K100+参数配置!O101*(J100-(1-EXP(-200/参数配置!O104)))/((1-EXP(-1500/参数配置!O104))-(1-EXP(-200/参数配置!O104)))+参数配置!O102*(L100/(1-2^(-5)))+参数配置!O103*K100*(J100-(1-EXP(-200/参数配置!O104)))/((1-EXP(-1500/参数配置!O104))-(1-EXP(-200/参数配置!O104))))*100)</f>
        <v/>
      </c>
      <c r="N100" t="str">
        <f t="array" ref="N100">IF(G100&gt;0,RLD_Label(G100,H100,I100),"")</f>
        <v/>
      </c>
      <c r="O100">
        <v>2</v>
      </c>
      <c r="P100" s="25" t="str">
        <f>IFERROR(INDEX(参数配置!B:B,MATCH(O100,参数配置!A:A,0)),"")</f>
        <v>波动前进</v>
      </c>
    </row>
    <row r="101" ht="14.25" customHeight="1" spans="1:16">
      <c r="B101" s="24">
        <v>100</v>
      </c>
      <c r="C101" s="24" t="s">
        <v>25</v>
      </c>
      <c r="D101" s="24">
        <v>0.85</v>
      </c>
      <c r="E101" s="25"/>
      <c r="F101" s="25"/>
      <c r="G101" s="24"/>
      <c r="H101" s="25">
        <f>IF(ISBLANK('1-200关设定'!W101),"",'1-200关设定'!W101)</f>
        <v>4</v>
      </c>
      <c r="I101" s="25">
        <f>IF(ISBLANK('1-200关设定'!V101),"",'1-200关设定'!V101)</f>
        <v>3</v>
      </c>
      <c r="J101" t="str">
        <f>IF(G101="","",1-EXP(-G101/参数配置!O105))</f>
        <v/>
      </c>
      <c r="K101">
        <f t="shared" si="2"/>
        <v>0.25</v>
      </c>
      <c r="L101">
        <f t="shared" si="3"/>
        <v>0.875</v>
      </c>
      <c r="M101" t="str">
        <f>IF(G101="","",(参数配置!O101*K101+参数配置!O102*(J101-(1-EXP(-200/参数配置!O105)))/((1-EXP(-1500/参数配置!O105))-(1-EXP(-200/参数配置!O105)))+参数配置!O103*(L101/(1-2^(-5)))+参数配置!O104*K101*(J101-(1-EXP(-200/参数配置!O105)))/((1-EXP(-1500/参数配置!O105))-(1-EXP(-200/参数配置!O105))))*100)</f>
        <v/>
      </c>
      <c r="N101" t="str">
        <f t="array" ref="N101">IF(G101&gt;0,RLD_Label(G101,H101,I101),"")</f>
        <v/>
      </c>
      <c r="O101">
        <v>3</v>
      </c>
      <c r="P101" s="25" t="str">
        <f>IFERROR(INDEX(参数配置!B:B,MATCH(O101,参数配置!A:A,0)),"")</f>
        <v>阶梯上升</v>
      </c>
    </row>
    <row r="102" ht="14.25" customHeight="1" spans="1:16">
      <c r="A102" s="26" t="s">
        <v>55</v>
      </c>
      <c r="B102" s="24">
        <v>101</v>
      </c>
      <c r="C102" s="24" t="s">
        <v>25</v>
      </c>
      <c r="D102" s="24">
        <v>0.85</v>
      </c>
      <c r="E102" s="25"/>
      <c r="F102" s="25"/>
      <c r="G102" s="24"/>
      <c r="H102" s="25">
        <f>IF(ISBLANK('1-200关设定'!W102),"",'1-200关设定'!W102)</f>
        <v>4</v>
      </c>
      <c r="I102" s="25">
        <f>IF(ISBLANK('1-200关设定'!V102),"",'1-200关设定'!V102)</f>
        <v>4</v>
      </c>
      <c r="J102" t="str">
        <f>IF(G102="","",1-EXP(-G102/参数配置!O106))</f>
        <v/>
      </c>
      <c r="K102">
        <f t="shared" si="2"/>
        <v>0.25</v>
      </c>
      <c r="L102">
        <f t="shared" si="3"/>
        <v>0.9375</v>
      </c>
      <c r="M102" t="str">
        <f>IF(G102="","",(参数配置!O102*K102+参数配置!O103*(J102-(1-EXP(-200/参数配置!O106)))/((1-EXP(-1500/参数配置!O106))-(1-EXP(-200/参数配置!O106)))+参数配置!O104*(L102/(1-2^(-5)))+参数配置!O105*K102*(J102-(1-EXP(-200/参数配置!O106)))/((1-EXP(-1500/参数配置!O106))-(1-EXP(-200/参数配置!O106))))*100)</f>
        <v/>
      </c>
      <c r="N102" t="str">
        <f t="array" ref="N102">IF(G102&gt;0,RLD_Label(G102,H102,I102),"")</f>
        <v/>
      </c>
      <c r="O102">
        <v>2</v>
      </c>
      <c r="P102" s="25" t="str">
        <f>IFERROR(INDEX(参数配置!B:B,MATCH(O102,参数配置!A:A,0)),"")</f>
        <v>波动前进</v>
      </c>
    </row>
    <row r="103" ht="14.25" customHeight="1" spans="1:16">
      <c r="A103" s="26"/>
      <c r="B103" s="24">
        <v>102</v>
      </c>
      <c r="C103" s="24" t="s">
        <v>25</v>
      </c>
      <c r="D103" s="24">
        <v>0.85</v>
      </c>
      <c r="E103" s="25"/>
      <c r="F103" s="25"/>
      <c r="G103" s="24"/>
      <c r="H103" s="25">
        <f>IF(ISBLANK('1-200关设定'!W103),"",'1-200关设定'!W103)</f>
        <v>4</v>
      </c>
      <c r="I103" s="25">
        <f>IF(ISBLANK('1-200关设定'!V103),"",'1-200关设定'!V103)</f>
        <v>4</v>
      </c>
      <c r="J103" t="str">
        <f>IF(G103="","",1-EXP(-G103/参数配置!O107))</f>
        <v/>
      </c>
      <c r="K103">
        <f t="shared" si="2"/>
        <v>0.25</v>
      </c>
      <c r="L103">
        <f t="shared" si="3"/>
        <v>0.9375</v>
      </c>
      <c r="M103" t="str">
        <f>IF(G103="","",(参数配置!O103*K103+参数配置!O104*(J103-(1-EXP(-200/参数配置!O107)))/((1-EXP(-1500/参数配置!O107))-(1-EXP(-200/参数配置!O107)))+参数配置!O105*(L103/(1-2^(-5)))+参数配置!O106*K103*(J103-(1-EXP(-200/参数配置!O107)))/((1-EXP(-1500/参数配置!O107))-(1-EXP(-200/参数配置!O107))))*100)</f>
        <v/>
      </c>
      <c r="N103" t="str">
        <f t="array" ref="N103">IF(G103&gt;0,RLD_Label(G103,H103,I103),"")</f>
        <v/>
      </c>
      <c r="O103">
        <v>2</v>
      </c>
      <c r="P103" s="25" t="str">
        <f>IFERROR(INDEX(参数配置!B:B,MATCH(O103,参数配置!A:A,0)),"")</f>
        <v>波动前进</v>
      </c>
    </row>
    <row r="104" ht="14.25" customHeight="1" spans="1:16">
      <c r="A104" s="26"/>
      <c r="B104" s="24">
        <v>103</v>
      </c>
      <c r="C104" s="24" t="s">
        <v>32</v>
      </c>
      <c r="D104" s="24">
        <v>0.6</v>
      </c>
      <c r="E104" s="25"/>
      <c r="F104" s="25"/>
      <c r="G104" s="24"/>
      <c r="H104" s="25">
        <f>IF(ISBLANK('1-200关设定'!W104),"",'1-200关设定'!W104)</f>
        <v>4</v>
      </c>
      <c r="I104" s="25">
        <f>IF(ISBLANK('1-200关设定'!V104),"",'1-200关设定'!V104)</f>
        <v>3</v>
      </c>
      <c r="J104" t="str">
        <f>IF(G104="","",1-EXP(-G104/参数配置!O108))</f>
        <v/>
      </c>
      <c r="K104">
        <f t="shared" si="2"/>
        <v>0.25</v>
      </c>
      <c r="L104">
        <f t="shared" si="3"/>
        <v>0.875</v>
      </c>
      <c r="M104" t="str">
        <f>IF(G104="","",(参数配置!O104*K104+参数配置!O105*(J104-(1-EXP(-200/参数配置!O108)))/((1-EXP(-1500/参数配置!O108))-(1-EXP(-200/参数配置!O108)))+参数配置!O106*(L104/(1-2^(-5)))+参数配置!O107*K104*(J104-(1-EXP(-200/参数配置!O108)))/((1-EXP(-1500/参数配置!O108))-(1-EXP(-200/参数配置!O108))))*100)</f>
        <v/>
      </c>
      <c r="N104" t="str">
        <f t="array" ref="N104">IF(G104&gt;0,RLD_Label(G104,H104,I104),"")</f>
        <v/>
      </c>
      <c r="O104">
        <v>4</v>
      </c>
      <c r="P104" s="25" t="str">
        <f>IFERROR(INDEX(参数配置!B:B,MATCH(O104,参数配置!A:A,0)),"")</f>
        <v>双峰值</v>
      </c>
    </row>
    <row r="105" ht="14.25" customHeight="1" spans="1:16">
      <c r="A105" s="26"/>
      <c r="B105" s="24">
        <v>104</v>
      </c>
      <c r="C105" s="24" t="s">
        <v>25</v>
      </c>
      <c r="D105" s="24">
        <v>0.85</v>
      </c>
      <c r="E105" s="25"/>
      <c r="F105" s="25"/>
      <c r="G105" s="24"/>
      <c r="H105" s="25">
        <f>IF(ISBLANK('1-200关设定'!W105),"",'1-200关设定'!W105)</f>
        <v>4</v>
      </c>
      <c r="I105" s="25">
        <f>IF(ISBLANK('1-200关设定'!V105),"",'1-200关设定'!V105)</f>
        <v>3</v>
      </c>
      <c r="J105" t="str">
        <f>IF(G105="","",1-EXP(-G105/参数配置!O109))</f>
        <v/>
      </c>
      <c r="K105">
        <f t="shared" si="2"/>
        <v>0.25</v>
      </c>
      <c r="L105">
        <f t="shared" si="3"/>
        <v>0.875</v>
      </c>
      <c r="M105" t="str">
        <f>IF(G105="","",(参数配置!O105*K105+参数配置!O106*(J105-(1-EXP(-200/参数配置!O109)))/((1-EXP(-1500/参数配置!O109))-(1-EXP(-200/参数配置!O109)))+参数配置!O107*(L105/(1-2^(-5)))+参数配置!O108*K105*(J105-(1-EXP(-200/参数配置!O109)))/((1-EXP(-1500/参数配置!O109))-(1-EXP(-200/参数配置!O109))))*100)</f>
        <v/>
      </c>
      <c r="N105" t="str">
        <f t="array" ref="N105">IF(G105&gt;0,RLD_Label(G105,H105,I105),"")</f>
        <v/>
      </c>
      <c r="O105">
        <v>2</v>
      </c>
      <c r="P105" s="25" t="str">
        <f>IFERROR(INDEX(参数配置!B:B,MATCH(O105,参数配置!A:A,0)),"")</f>
        <v>波动前进</v>
      </c>
    </row>
    <row r="106" ht="14.25" customHeight="1" spans="1:16">
      <c r="A106" s="26"/>
      <c r="B106" s="24">
        <v>105</v>
      </c>
      <c r="C106" s="24" t="s">
        <v>25</v>
      </c>
      <c r="D106" s="24">
        <v>0.85</v>
      </c>
      <c r="E106" s="25"/>
      <c r="F106" s="25"/>
      <c r="G106" s="24"/>
      <c r="H106" s="25">
        <f>IF(ISBLANK('1-200关设定'!W106),"",'1-200关设定'!W106)</f>
        <v>4</v>
      </c>
      <c r="I106" s="25">
        <f>IF(ISBLANK('1-200关设定'!V106),"",'1-200关设定'!V106)</f>
        <v>4</v>
      </c>
      <c r="J106" t="str">
        <f>IF(G106="","",1-EXP(-G106/参数配置!O110))</f>
        <v/>
      </c>
      <c r="K106">
        <f t="shared" si="2"/>
        <v>0.25</v>
      </c>
      <c r="L106">
        <f t="shared" si="3"/>
        <v>0.9375</v>
      </c>
      <c r="M106" t="str">
        <f>IF(G106="","",(参数配置!O106*K106+参数配置!O107*(J106-(1-EXP(-200/参数配置!O110)))/((1-EXP(-1500/参数配置!O110))-(1-EXP(-200/参数配置!O110)))+参数配置!O108*(L106/(1-2^(-5)))+参数配置!O109*K106*(J106-(1-EXP(-200/参数配置!O110)))/((1-EXP(-1500/参数配置!O110))-(1-EXP(-200/参数配置!O110))))*100)</f>
        <v/>
      </c>
      <c r="N106" t="str">
        <f t="array" ref="N106">IF(G106&gt;0,RLD_Label(G106,H106,I106),"")</f>
        <v/>
      </c>
      <c r="O106">
        <v>6</v>
      </c>
      <c r="P106" s="25" t="str">
        <f>IFERROR(INDEX(参数配置!B:B,MATCH(O106,参数配置!A:A,0)),"")</f>
        <v>先易后难</v>
      </c>
    </row>
    <row r="107" ht="14.25" customHeight="1" spans="1:16">
      <c r="A107" s="26"/>
      <c r="B107" s="24">
        <v>106</v>
      </c>
      <c r="C107" s="24" t="s">
        <v>25</v>
      </c>
      <c r="D107" s="24">
        <v>0.85</v>
      </c>
      <c r="E107" s="25"/>
      <c r="F107" s="25"/>
      <c r="G107" s="24"/>
      <c r="H107" s="25">
        <f>IF(ISBLANK('1-200关设定'!W107),"",'1-200关设定'!W107)</f>
        <v>4</v>
      </c>
      <c r="I107" s="25">
        <f>IF(ISBLANK('1-200关设定'!V107),"",'1-200关设定'!V107)</f>
        <v>2</v>
      </c>
      <c r="J107" t="str">
        <f>IF(G107="","",1-EXP(-G107/参数配置!O111))</f>
        <v/>
      </c>
      <c r="K107">
        <f t="shared" si="2"/>
        <v>0.25</v>
      </c>
      <c r="L107">
        <f t="shared" si="3"/>
        <v>0.75</v>
      </c>
      <c r="M107" t="str">
        <f>IF(G107="","",(参数配置!O107*K107+参数配置!O108*(J107-(1-EXP(-200/参数配置!O111)))/((1-EXP(-1500/参数配置!O111))-(1-EXP(-200/参数配置!O111)))+参数配置!O109*(L107/(1-2^(-5)))+参数配置!O110*K107*(J107-(1-EXP(-200/参数配置!O111)))/((1-EXP(-1500/参数配置!O111))-(1-EXP(-200/参数配置!O111))))*100)</f>
        <v/>
      </c>
      <c r="N107" t="str">
        <f t="array" ref="N107">IF(G107&gt;0,RLD_Label(G107,H107,I107),"")</f>
        <v/>
      </c>
      <c r="O107">
        <v>2</v>
      </c>
      <c r="P107" s="25" t="str">
        <f>IFERROR(INDEX(参数配置!B:B,MATCH(O107,参数配置!A:A,0)),"")</f>
        <v>波动前进</v>
      </c>
    </row>
    <row r="108" ht="14.25" customHeight="1" spans="1:16">
      <c r="A108" s="26"/>
      <c r="B108" s="24">
        <v>107</v>
      </c>
      <c r="C108" s="24" t="s">
        <v>25</v>
      </c>
      <c r="D108" s="24">
        <v>0.85</v>
      </c>
      <c r="E108" s="25"/>
      <c r="F108" s="25"/>
      <c r="G108" s="24"/>
      <c r="H108" s="25">
        <f>IF(ISBLANK('1-200关设定'!W108),"",'1-200关设定'!W108)</f>
        <v>4</v>
      </c>
      <c r="I108" s="25">
        <f>IF(ISBLANK('1-200关设定'!V108),"",'1-200关设定'!V108)</f>
        <v>4</v>
      </c>
      <c r="J108" t="str">
        <f>IF(G108="","",1-EXP(-G108/参数配置!O112))</f>
        <v/>
      </c>
      <c r="K108">
        <f t="shared" si="2"/>
        <v>0.25</v>
      </c>
      <c r="L108">
        <f t="shared" si="3"/>
        <v>0.9375</v>
      </c>
      <c r="M108" t="str">
        <f>IF(G108="","",(参数配置!O108*K108+参数配置!O109*(J108-(1-EXP(-200/参数配置!O112)))/((1-EXP(-1500/参数配置!O112))-(1-EXP(-200/参数配置!O112)))+参数配置!O110*(L108/(1-2^(-5)))+参数配置!O111*K108*(J108-(1-EXP(-200/参数配置!O112)))/((1-EXP(-1500/参数配置!O112))-(1-EXP(-200/参数配置!O112))))*100)</f>
        <v/>
      </c>
      <c r="N108" t="str">
        <f t="array" ref="N108">IF(G108&gt;0,RLD_Label(G108,H108,I108),"")</f>
        <v/>
      </c>
      <c r="O108">
        <v>2</v>
      </c>
      <c r="P108" s="25" t="str">
        <f>IFERROR(INDEX(参数配置!B:B,MATCH(O108,参数配置!A:A,0)),"")</f>
        <v>波动前进</v>
      </c>
    </row>
    <row r="109" ht="14.25" customHeight="1" spans="1:16">
      <c r="A109" s="26"/>
      <c r="B109" s="24">
        <v>108</v>
      </c>
      <c r="C109" s="24" t="s">
        <v>32</v>
      </c>
      <c r="D109" s="24">
        <v>0.6</v>
      </c>
      <c r="E109" s="25"/>
      <c r="F109" s="25"/>
      <c r="G109" s="24"/>
      <c r="H109" s="25">
        <f>IF(ISBLANK('1-200关设定'!W109),"",'1-200关设定'!W109)</f>
        <v>4</v>
      </c>
      <c r="I109" s="25">
        <f>IF(ISBLANK('1-200关设定'!V109),"",'1-200关设定'!V109)</f>
        <v>5</v>
      </c>
      <c r="J109" t="str">
        <f>IF(G109="","",1-EXP(-G109/参数配置!O113))</f>
        <v/>
      </c>
      <c r="K109">
        <f t="shared" si="2"/>
        <v>0.25</v>
      </c>
      <c r="L109">
        <f t="shared" si="3"/>
        <v>0.96875</v>
      </c>
      <c r="M109" t="str">
        <f>IF(G109="","",(参数配置!O109*K109+参数配置!O110*(J109-(1-EXP(-200/参数配置!O113)))/((1-EXP(-1500/参数配置!O113))-(1-EXP(-200/参数配置!O113)))+参数配置!O111*(L109/(1-2^(-5)))+参数配置!O112*K109*(J109-(1-EXP(-200/参数配置!O113)))/((1-EXP(-1500/参数配置!O113))-(1-EXP(-200/参数配置!O113))))*100)</f>
        <v/>
      </c>
      <c r="N109" t="str">
        <f t="array" ref="N109">IF(G109&gt;0,RLD_Label(G109,H109,I109),"")</f>
        <v/>
      </c>
      <c r="O109">
        <v>3</v>
      </c>
      <c r="P109" s="25" t="str">
        <f>IFERROR(INDEX(参数配置!B:B,MATCH(O109,参数配置!A:A,0)),"")</f>
        <v>阶梯上升</v>
      </c>
    </row>
    <row r="110" ht="14.25" customHeight="1" spans="1:16">
      <c r="A110" s="26"/>
      <c r="B110" s="24">
        <v>109</v>
      </c>
      <c r="C110" s="24" t="s">
        <v>25</v>
      </c>
      <c r="D110" s="24">
        <v>0.85</v>
      </c>
      <c r="E110" s="25"/>
      <c r="F110" s="25"/>
      <c r="G110" s="24"/>
      <c r="H110" s="25">
        <f>IF(ISBLANK('1-200关设定'!W110),"",'1-200关设定'!W110)</f>
        <v>5</v>
      </c>
      <c r="I110" s="25">
        <f>IF(ISBLANK('1-200关设定'!V110),"",'1-200关设定'!V110)</f>
        <v>2</v>
      </c>
      <c r="J110" t="str">
        <f>IF(G110="","",1-EXP(-G110/参数配置!O114))</f>
        <v/>
      </c>
      <c r="K110">
        <f t="shared" si="2"/>
        <v>0.5625</v>
      </c>
      <c r="L110">
        <f t="shared" si="3"/>
        <v>0.75</v>
      </c>
      <c r="M110" t="str">
        <f>IF(G110="","",(参数配置!O110*K110+参数配置!O111*(J110-(1-EXP(-200/参数配置!O114)))/((1-EXP(-1500/参数配置!O114))-(1-EXP(-200/参数配置!O114)))+参数配置!O112*(L110/(1-2^(-5)))+参数配置!O113*K110*(J110-(1-EXP(-200/参数配置!O114)))/((1-EXP(-1500/参数配置!O114))-(1-EXP(-200/参数配置!O114))))*100)</f>
        <v/>
      </c>
      <c r="N110" t="str">
        <f t="array" ref="N110">IF(G110&gt;0,RLD_Label(G110,H110,I110),"")</f>
        <v/>
      </c>
      <c r="O110">
        <v>2</v>
      </c>
      <c r="P110" s="25" t="str">
        <f>IFERROR(INDEX(参数配置!B:B,MATCH(O110,参数配置!A:A,0)),"")</f>
        <v>波动前进</v>
      </c>
    </row>
    <row r="111" ht="14.25" customHeight="1" spans="1:16">
      <c r="A111" s="26"/>
      <c r="B111" s="24">
        <v>110</v>
      </c>
      <c r="C111" s="24" t="s">
        <v>25</v>
      </c>
      <c r="D111" s="24">
        <v>0.85</v>
      </c>
      <c r="E111" s="25"/>
      <c r="F111" s="25"/>
      <c r="G111" s="24"/>
      <c r="H111" s="25">
        <f>IF(ISBLANK('1-200关设定'!W111),"",'1-200关设定'!W111)</f>
        <v>4</v>
      </c>
      <c r="I111" s="25">
        <f>IF(ISBLANK('1-200关设定'!V111),"",'1-200关设定'!V111)</f>
        <v>4</v>
      </c>
      <c r="J111" t="str">
        <f>IF(G111="","",1-EXP(-G111/参数配置!O115))</f>
        <v/>
      </c>
      <c r="K111">
        <f t="shared" si="2"/>
        <v>0.25</v>
      </c>
      <c r="L111">
        <f t="shared" si="3"/>
        <v>0.9375</v>
      </c>
      <c r="M111" t="str">
        <f>IF(G111="","",(参数配置!O111*K111+参数配置!O112*(J111-(1-EXP(-200/参数配置!O115)))/((1-EXP(-1500/参数配置!O115))-(1-EXP(-200/参数配置!O115)))+参数配置!O113*(L111/(1-2^(-5)))+参数配置!O114*K111*(J111-(1-EXP(-200/参数配置!O115)))/((1-EXP(-1500/参数配置!O115))-(1-EXP(-200/参数配置!O115))))*100)</f>
        <v/>
      </c>
      <c r="N111" t="str">
        <f t="array" ref="N111">IF(G111&gt;0,RLD_Label(G111,H111,I111),"")</f>
        <v/>
      </c>
      <c r="O111">
        <v>3</v>
      </c>
      <c r="P111" s="25" t="str">
        <f>IFERROR(INDEX(参数配置!B:B,MATCH(O111,参数配置!A:A,0)),"")</f>
        <v>阶梯上升</v>
      </c>
    </row>
    <row r="112" ht="14.25" customHeight="1" spans="1:16">
      <c r="A112" s="26"/>
      <c r="B112" s="24">
        <v>111</v>
      </c>
      <c r="C112" s="24" t="s">
        <v>41</v>
      </c>
      <c r="D112" s="24">
        <v>0.4</v>
      </c>
      <c r="E112" s="25"/>
      <c r="F112" s="25"/>
      <c r="G112" s="24"/>
      <c r="H112" s="25">
        <f>IF(ISBLANK('1-200关设定'!W112),"",'1-200关设定'!W112)</f>
        <v>4</v>
      </c>
      <c r="I112" s="25">
        <f>IF(ISBLANK('1-200关设定'!V112),"",'1-200关设定'!V112)</f>
        <v>4</v>
      </c>
      <c r="J112" t="str">
        <f>IF(G112="","",1-EXP(-G112/参数配置!O116))</f>
        <v/>
      </c>
      <c r="K112">
        <f t="shared" si="2"/>
        <v>0.25</v>
      </c>
      <c r="L112">
        <f t="shared" si="3"/>
        <v>0.9375</v>
      </c>
      <c r="M112" t="str">
        <f>IF(G112="","",(参数配置!O112*K112+参数配置!O113*(J112-(1-EXP(-200/参数配置!O116)))/((1-EXP(-1500/参数配置!O116))-(1-EXP(-200/参数配置!O116)))+参数配置!O114*(L112/(1-2^(-5)))+参数配置!O115*K112*(J112-(1-EXP(-200/参数配置!O116)))/((1-EXP(-1500/参数配置!O116))-(1-EXP(-200/参数配置!O116))))*100)</f>
        <v/>
      </c>
      <c r="N112" t="str">
        <f t="array" ref="N112">IF(G112&gt;0,RLD_Label(G112,H112,I112),"")</f>
        <v/>
      </c>
      <c r="O112">
        <v>4</v>
      </c>
      <c r="P112" s="25" t="str">
        <f>IFERROR(INDEX(参数配置!B:B,MATCH(O112,参数配置!A:A,0)),"")</f>
        <v>双峰值</v>
      </c>
    </row>
    <row r="113" ht="14.25" customHeight="1" spans="1:16">
      <c r="A113" s="26"/>
      <c r="B113" s="24">
        <v>112</v>
      </c>
      <c r="C113" s="24" t="s">
        <v>25</v>
      </c>
      <c r="D113" s="24">
        <v>0.85</v>
      </c>
      <c r="E113" s="25"/>
      <c r="F113" s="25"/>
      <c r="G113" s="24"/>
      <c r="H113" s="25">
        <f>IF(ISBLANK('1-200关设定'!W113),"",'1-200关设定'!W113)</f>
        <v>4</v>
      </c>
      <c r="I113" s="25">
        <f>IF(ISBLANK('1-200关设定'!V113),"",'1-200关设定'!V113)</f>
        <v>3</v>
      </c>
      <c r="J113" t="str">
        <f>IF(G113="","",1-EXP(-G113/参数配置!O117))</f>
        <v/>
      </c>
      <c r="K113">
        <f t="shared" si="2"/>
        <v>0.25</v>
      </c>
      <c r="L113">
        <f t="shared" si="3"/>
        <v>0.875</v>
      </c>
      <c r="M113" t="str">
        <f>IF(G113="","",(参数配置!O113*K113+参数配置!O114*(J113-(1-EXP(-200/参数配置!O117)))/((1-EXP(-1500/参数配置!O117))-(1-EXP(-200/参数配置!O117)))+参数配置!O115*(L113/(1-2^(-5)))+参数配置!O116*K113*(J113-(1-EXP(-200/参数配置!O117)))/((1-EXP(-1500/参数配置!O117))-(1-EXP(-200/参数配置!O117))))*100)</f>
        <v/>
      </c>
      <c r="N113" t="str">
        <f t="array" ref="N113">IF(G113&gt;0,RLD_Label(G113,H113,I113),"")</f>
        <v/>
      </c>
      <c r="O113">
        <v>6</v>
      </c>
      <c r="P113" s="25" t="str">
        <f>IFERROR(INDEX(参数配置!B:B,MATCH(O113,参数配置!A:A,0)),"")</f>
        <v>先易后难</v>
      </c>
    </row>
    <row r="114" ht="14.25" customHeight="1" spans="1:16">
      <c r="A114" s="26"/>
      <c r="B114" s="24">
        <v>113</v>
      </c>
      <c r="C114" s="24" t="s">
        <v>25</v>
      </c>
      <c r="D114" s="24">
        <v>0.85</v>
      </c>
      <c r="E114" s="25"/>
      <c r="F114" s="25"/>
      <c r="G114" s="24"/>
      <c r="H114" s="25">
        <f>IF(ISBLANK('1-200关设定'!W114),"",'1-200关设定'!W114)</f>
        <v>4</v>
      </c>
      <c r="I114" s="25">
        <f>IF(ISBLANK('1-200关设定'!V114),"",'1-200关设定'!V114)</f>
        <v>4</v>
      </c>
      <c r="J114" t="str">
        <f>IF(G114="","",1-EXP(-G114/参数配置!O118))</f>
        <v/>
      </c>
      <c r="K114">
        <f t="shared" si="2"/>
        <v>0.25</v>
      </c>
      <c r="L114">
        <f t="shared" si="3"/>
        <v>0.9375</v>
      </c>
      <c r="M114" t="str">
        <f>IF(G114="","",(参数配置!O114*K114+参数配置!O115*(J114-(1-EXP(-200/参数配置!O118)))/((1-EXP(-1500/参数配置!O118))-(1-EXP(-200/参数配置!O118)))+参数配置!O116*(L114/(1-2^(-5)))+参数配置!O117*K114*(J114-(1-EXP(-200/参数配置!O118)))/((1-EXP(-1500/参数配置!O118))-(1-EXP(-200/参数配置!O118))))*100)</f>
        <v/>
      </c>
      <c r="N114" t="str">
        <f t="array" ref="N114">IF(G114&gt;0,RLD_Label(G114,H114,I114),"")</f>
        <v/>
      </c>
      <c r="O114">
        <v>2</v>
      </c>
      <c r="P114" s="25" t="str">
        <f>IFERROR(INDEX(参数配置!B:B,MATCH(O114,参数配置!A:A,0)),"")</f>
        <v>波动前进</v>
      </c>
    </row>
    <row r="115" ht="14.25" customHeight="1" spans="1:16">
      <c r="A115" s="26"/>
      <c r="B115" s="24">
        <v>114</v>
      </c>
      <c r="C115" s="24" t="s">
        <v>25</v>
      </c>
      <c r="D115" s="24">
        <v>0.85</v>
      </c>
      <c r="E115" s="25"/>
      <c r="F115" s="25"/>
      <c r="G115" s="24"/>
      <c r="H115" s="25">
        <f>IF(ISBLANK('1-200关设定'!W115),"",'1-200关设定'!W115)</f>
        <v>4</v>
      </c>
      <c r="I115" s="25">
        <f>IF(ISBLANK('1-200关设定'!V115),"",'1-200关设定'!V115)</f>
        <v>4</v>
      </c>
      <c r="J115" t="str">
        <f>IF(G115="","",1-EXP(-G115/参数配置!O119))</f>
        <v/>
      </c>
      <c r="K115">
        <f t="shared" si="2"/>
        <v>0.25</v>
      </c>
      <c r="L115">
        <f t="shared" si="3"/>
        <v>0.9375</v>
      </c>
      <c r="M115" t="str">
        <f>IF(G115="","",(参数配置!O115*K115+参数配置!O116*(J115-(1-EXP(-200/参数配置!O119)))/((1-EXP(-1500/参数配置!O119))-(1-EXP(-200/参数配置!O119)))+参数配置!O117*(L115/(1-2^(-5)))+参数配置!O118*K115*(J115-(1-EXP(-200/参数配置!O119)))/((1-EXP(-1500/参数配置!O119))-(1-EXP(-200/参数配置!O119))))*100)</f>
        <v/>
      </c>
      <c r="N115" t="str">
        <f t="array" ref="N115">IF(G115&gt;0,RLD_Label(G115,H115,I115),"")</f>
        <v/>
      </c>
      <c r="O115">
        <v>2</v>
      </c>
      <c r="P115" s="25" t="str">
        <f>IFERROR(INDEX(参数配置!B:B,MATCH(O115,参数配置!A:A,0)),"")</f>
        <v>波动前进</v>
      </c>
    </row>
    <row r="116" ht="14.25" customHeight="1" spans="1:16">
      <c r="A116" s="26"/>
      <c r="B116" s="24">
        <v>115</v>
      </c>
      <c r="C116" s="24" t="s">
        <v>32</v>
      </c>
      <c r="D116" s="24">
        <v>0.6</v>
      </c>
      <c r="E116" s="25"/>
      <c r="F116" s="25"/>
      <c r="G116" s="24"/>
      <c r="H116" s="25">
        <f>IF(ISBLANK('1-200关设定'!W116),"",'1-200关设定'!W116)</f>
        <v>4</v>
      </c>
      <c r="I116" s="25">
        <f>IF(ISBLANK('1-200关设定'!V116),"",'1-200关设定'!V116)</f>
        <v>5</v>
      </c>
      <c r="J116" t="str">
        <f>IF(G116="","",1-EXP(-G116/参数配置!O120))</f>
        <v/>
      </c>
      <c r="K116">
        <f t="shared" si="2"/>
        <v>0.25</v>
      </c>
      <c r="L116">
        <f t="shared" si="3"/>
        <v>0.96875</v>
      </c>
      <c r="M116" t="str">
        <f>IF(G116="","",(参数配置!O116*K116+参数配置!O117*(J116-(1-EXP(-200/参数配置!O120)))/((1-EXP(-1500/参数配置!O120))-(1-EXP(-200/参数配置!O120)))+参数配置!O118*(L116/(1-2^(-5)))+参数配置!O119*K116*(J116-(1-EXP(-200/参数配置!O120)))/((1-EXP(-1500/参数配置!O120))-(1-EXP(-200/参数配置!O120))))*100)</f>
        <v/>
      </c>
      <c r="N116" t="str">
        <f t="array" ref="N116">IF(G116&gt;0,RLD_Label(G116,H116,I116),"")</f>
        <v/>
      </c>
      <c r="O116">
        <v>3</v>
      </c>
      <c r="P116" s="25" t="str">
        <f>IFERROR(INDEX(参数配置!B:B,MATCH(O116,参数配置!A:A,0)),"")</f>
        <v>阶梯上升</v>
      </c>
    </row>
    <row r="117" ht="14.25" customHeight="1" spans="1:16">
      <c r="A117" s="26"/>
      <c r="B117" s="24">
        <v>116</v>
      </c>
      <c r="C117" s="24" t="s">
        <v>25</v>
      </c>
      <c r="D117" s="24">
        <v>0.85</v>
      </c>
      <c r="E117" s="25"/>
      <c r="F117" s="25"/>
      <c r="G117" s="24"/>
      <c r="H117" s="25">
        <f>IF(ISBLANK('1-200关设定'!W117),"",'1-200关设定'!W117)</f>
        <v>4</v>
      </c>
      <c r="I117" s="25">
        <f>IF(ISBLANK('1-200关设定'!V117),"",'1-200关设定'!V117)</f>
        <v>3</v>
      </c>
      <c r="J117" t="str">
        <f>IF(G117="","",1-EXP(-G117/参数配置!O121))</f>
        <v/>
      </c>
      <c r="K117">
        <f t="shared" si="2"/>
        <v>0.25</v>
      </c>
      <c r="L117">
        <f t="shared" si="3"/>
        <v>0.875</v>
      </c>
      <c r="M117" t="str">
        <f>IF(G117="","",(参数配置!O117*K117+参数配置!O118*(J117-(1-EXP(-200/参数配置!O121)))/((1-EXP(-1500/参数配置!O121))-(1-EXP(-200/参数配置!O121)))+参数配置!O119*(L117/(1-2^(-5)))+参数配置!O120*K117*(J117-(1-EXP(-200/参数配置!O121)))/((1-EXP(-1500/参数配置!O121))-(1-EXP(-200/参数配置!O121))))*100)</f>
        <v/>
      </c>
      <c r="N117" t="str">
        <f t="array" ref="N117">IF(G117&gt;0,RLD_Label(G117,H117,I117),"")</f>
        <v/>
      </c>
      <c r="O117">
        <v>2</v>
      </c>
      <c r="P117" s="25" t="str">
        <f>IFERROR(INDEX(参数配置!B:B,MATCH(O117,参数配置!A:A,0)),"")</f>
        <v>波动前进</v>
      </c>
    </row>
    <row r="118" ht="14.25" customHeight="1" spans="1:16">
      <c r="A118" s="26"/>
      <c r="B118" s="24">
        <v>117</v>
      </c>
      <c r="C118" s="24" t="s">
        <v>25</v>
      </c>
      <c r="D118" s="24">
        <v>0.85</v>
      </c>
      <c r="E118" s="25"/>
      <c r="F118" s="25"/>
      <c r="G118" s="24"/>
      <c r="H118" s="25">
        <f>IF(ISBLANK('1-200关设定'!W118),"",'1-200关设定'!W118)</f>
        <v>4</v>
      </c>
      <c r="I118" s="25">
        <f>IF(ISBLANK('1-200关设定'!V118),"",'1-200关设定'!V118)</f>
        <v>4</v>
      </c>
      <c r="J118" t="str">
        <f>IF(G118="","",1-EXP(-G118/参数配置!O122))</f>
        <v/>
      </c>
      <c r="K118">
        <f t="shared" si="2"/>
        <v>0.25</v>
      </c>
      <c r="L118">
        <f t="shared" si="3"/>
        <v>0.9375</v>
      </c>
      <c r="M118" t="str">
        <f>IF(G118="","",(参数配置!O118*K118+参数配置!O119*(J118-(1-EXP(-200/参数配置!O122)))/((1-EXP(-1500/参数配置!O122))-(1-EXP(-200/参数配置!O122)))+参数配置!O120*(L118/(1-2^(-5)))+参数配置!O121*K118*(J118-(1-EXP(-200/参数配置!O122)))/((1-EXP(-1500/参数配置!O122))-(1-EXP(-200/参数配置!O122))))*100)</f>
        <v/>
      </c>
      <c r="N118" t="str">
        <f t="array" ref="N118">IF(G118&gt;0,RLD_Label(G118,H118,I118),"")</f>
        <v/>
      </c>
      <c r="O118">
        <v>4</v>
      </c>
      <c r="P118" s="25" t="str">
        <f>IFERROR(INDEX(参数配置!B:B,MATCH(O118,参数配置!A:A,0)),"")</f>
        <v>双峰值</v>
      </c>
    </row>
    <row r="119" ht="14.25" customHeight="1" spans="1:16">
      <c r="A119" s="26"/>
      <c r="B119" s="24">
        <v>118</v>
      </c>
      <c r="C119" s="24" t="s">
        <v>41</v>
      </c>
      <c r="D119" s="24">
        <v>0.4</v>
      </c>
      <c r="E119" s="25"/>
      <c r="F119" s="25"/>
      <c r="G119" s="24"/>
      <c r="H119" s="25">
        <f>IF(ISBLANK('1-200关设定'!W119),"",'1-200关设定'!W119)</f>
        <v>5</v>
      </c>
      <c r="I119" s="25">
        <f>IF(ISBLANK('1-200关设定'!V119),"",'1-200关设定'!V119)</f>
        <v>3</v>
      </c>
      <c r="J119" t="str">
        <f>IF(G119="","",1-EXP(-G119/参数配置!O123))</f>
        <v/>
      </c>
      <c r="K119">
        <f t="shared" si="2"/>
        <v>0.5625</v>
      </c>
      <c r="L119">
        <f t="shared" si="3"/>
        <v>0.875</v>
      </c>
      <c r="M119" t="str">
        <f>IF(G119="","",(参数配置!O119*K119+参数配置!O120*(J119-(1-EXP(-200/参数配置!O123)))/((1-EXP(-1500/参数配置!O123))-(1-EXP(-200/参数配置!O123)))+参数配置!O121*(L119/(1-2^(-5)))+参数配置!O122*K119*(J119-(1-EXP(-200/参数配置!O123)))/((1-EXP(-1500/参数配置!O123))-(1-EXP(-200/参数配置!O123))))*100)</f>
        <v/>
      </c>
      <c r="N119" t="str">
        <f t="array" ref="N119">IF(G119&gt;0,RLD_Label(G119,H119,I119),"")</f>
        <v/>
      </c>
      <c r="O119">
        <v>2</v>
      </c>
      <c r="P119" s="25" t="str">
        <f>IFERROR(INDEX(参数配置!B:B,MATCH(O119,参数配置!A:A,0)),"")</f>
        <v>波动前进</v>
      </c>
    </row>
    <row r="120" ht="14.25" customHeight="1" spans="1:16">
      <c r="A120" s="26"/>
      <c r="B120" s="24">
        <v>119</v>
      </c>
      <c r="C120" s="24" t="s">
        <v>25</v>
      </c>
      <c r="D120" s="24">
        <v>0.85</v>
      </c>
      <c r="E120" s="25"/>
      <c r="F120" s="25"/>
      <c r="G120" s="24"/>
      <c r="H120" s="25">
        <f>IF(ISBLANK('1-200关设定'!W120),"",'1-200关设定'!W120)</f>
        <v>4</v>
      </c>
      <c r="I120" s="25">
        <f>IF(ISBLANK('1-200关设定'!V120),"",'1-200关设定'!V120)</f>
        <v>4</v>
      </c>
      <c r="J120" t="str">
        <f>IF(G120="","",1-EXP(-G120/参数配置!O124))</f>
        <v/>
      </c>
      <c r="K120">
        <f t="shared" si="2"/>
        <v>0.25</v>
      </c>
      <c r="L120">
        <f t="shared" si="3"/>
        <v>0.9375</v>
      </c>
      <c r="M120" t="str">
        <f>IF(G120="","",(参数配置!O120*K120+参数配置!O121*(J120-(1-EXP(-200/参数配置!O124)))/((1-EXP(-1500/参数配置!O124))-(1-EXP(-200/参数配置!O124)))+参数配置!O122*(L120/(1-2^(-5)))+参数配置!O123*K120*(J120-(1-EXP(-200/参数配置!O124)))/((1-EXP(-1500/参数配置!O124))-(1-EXP(-200/参数配置!O124))))*100)</f>
        <v/>
      </c>
      <c r="N120" t="str">
        <f t="array" ref="N120">IF(G120&gt;0,RLD_Label(G120,H120,I120),"")</f>
        <v/>
      </c>
      <c r="O120">
        <v>6</v>
      </c>
      <c r="P120" s="25" t="str">
        <f>IFERROR(INDEX(参数配置!B:B,MATCH(O120,参数配置!A:A,0)),"")</f>
        <v>先易后难</v>
      </c>
    </row>
    <row r="121" ht="14.25" customHeight="1" spans="1:16">
      <c r="A121" s="26"/>
      <c r="B121" s="24">
        <v>120</v>
      </c>
      <c r="C121" s="24" t="s">
        <v>25</v>
      </c>
      <c r="D121" s="24">
        <v>0.85</v>
      </c>
      <c r="E121" s="25"/>
      <c r="F121" s="25"/>
      <c r="G121" s="24"/>
      <c r="H121" s="25">
        <f>IF(ISBLANK('1-200关设定'!W121),"",'1-200关设定'!W121)</f>
        <v>4</v>
      </c>
      <c r="I121" s="25">
        <f>IF(ISBLANK('1-200关设定'!V121),"",'1-200关设定'!V121)</f>
        <v>3</v>
      </c>
      <c r="J121" t="str">
        <f>IF(G121="","",1-EXP(-G121/参数配置!O125))</f>
        <v/>
      </c>
      <c r="K121">
        <f t="shared" si="2"/>
        <v>0.25</v>
      </c>
      <c r="L121">
        <f t="shared" si="3"/>
        <v>0.875</v>
      </c>
      <c r="M121" t="str">
        <f>IF(G121="","",(参数配置!O121*K121+参数配置!O122*(J121-(1-EXP(-200/参数配置!O125)))/((1-EXP(-1500/参数配置!O125))-(1-EXP(-200/参数配置!O125)))+参数配置!O123*(L121/(1-2^(-5)))+参数配置!O124*K121*(J121-(1-EXP(-200/参数配置!O125)))/((1-EXP(-1500/参数配置!O125))-(1-EXP(-200/参数配置!O125))))*100)</f>
        <v/>
      </c>
      <c r="N121" t="str">
        <f t="array" ref="N121">IF(G121&gt;0,RLD_Label(G121,H121,I121),"")</f>
        <v/>
      </c>
      <c r="O121">
        <v>3</v>
      </c>
      <c r="P121" s="25" t="str">
        <f>IFERROR(INDEX(参数配置!B:B,MATCH(O121,参数配置!A:A,0)),"")</f>
        <v>阶梯上升</v>
      </c>
    </row>
    <row r="122" ht="14.25" customHeight="1" spans="1:16">
      <c r="A122" s="26" t="s">
        <v>56</v>
      </c>
      <c r="B122" s="24">
        <v>121</v>
      </c>
      <c r="C122" s="24" t="s">
        <v>25</v>
      </c>
      <c r="D122" s="24">
        <v>0.85</v>
      </c>
      <c r="E122" s="25"/>
      <c r="F122" s="25"/>
      <c r="G122" s="24"/>
      <c r="H122" s="25">
        <f>IF(ISBLANK('1-200关设定'!W122),"",'1-200关设定'!W122)</f>
        <v>4</v>
      </c>
      <c r="I122" s="25">
        <f>IF(ISBLANK('1-200关设定'!V122),"",'1-200关设定'!V122)</f>
        <v>1</v>
      </c>
      <c r="J122" t="str">
        <f>IF(G122="","",1-EXP(-G122/参数配置!O126))</f>
        <v/>
      </c>
      <c r="K122">
        <f t="shared" si="2"/>
        <v>0.25</v>
      </c>
      <c r="L122">
        <f t="shared" si="3"/>
        <v>0.5</v>
      </c>
      <c r="M122" t="str">
        <f>IF(G122="","",(参数配置!O122*K122+参数配置!O123*(J122-(1-EXP(-200/参数配置!O126)))/((1-EXP(-1500/参数配置!O126))-(1-EXP(-200/参数配置!O126)))+参数配置!O124*(L122/(1-2^(-5)))+参数配置!O125*K122*(J122-(1-EXP(-200/参数配置!O126)))/((1-EXP(-1500/参数配置!O126))-(1-EXP(-200/参数配置!O126))))*100)</f>
        <v/>
      </c>
      <c r="N122" t="str">
        <f t="array" ref="N122">IF(G122&gt;0,RLD_Label(G122,H122,I122),"")</f>
        <v/>
      </c>
      <c r="O122">
        <v>6</v>
      </c>
      <c r="P122" s="25" t="str">
        <f>IFERROR(INDEX(参数配置!B:B,MATCH(O122,参数配置!A:A,0)),"")</f>
        <v>先易后难</v>
      </c>
    </row>
    <row r="123" ht="14.25" customHeight="1" spans="1:16">
      <c r="A123" s="26"/>
      <c r="B123" s="24">
        <v>122</v>
      </c>
      <c r="C123" s="24" t="s">
        <v>25</v>
      </c>
      <c r="D123" s="24">
        <v>0.85</v>
      </c>
      <c r="E123" s="25"/>
      <c r="F123" s="25"/>
      <c r="G123" s="24"/>
      <c r="H123" s="25">
        <f>IF(ISBLANK('1-200关设定'!W123),"",'1-200关设定'!W123)</f>
        <v>4</v>
      </c>
      <c r="I123" s="25">
        <f>IF(ISBLANK('1-200关设定'!V123),"",'1-200关设定'!V123)</f>
        <v>3</v>
      </c>
      <c r="J123" t="str">
        <f>IF(G123="","",1-EXP(-G123/参数配置!O127))</f>
        <v/>
      </c>
      <c r="K123">
        <f t="shared" si="2"/>
        <v>0.25</v>
      </c>
      <c r="L123">
        <f t="shared" si="3"/>
        <v>0.875</v>
      </c>
      <c r="M123" t="str">
        <f>IF(G123="","",(参数配置!O123*K123+参数配置!O124*(J123-(1-EXP(-200/参数配置!O127)))/((1-EXP(-1500/参数配置!O127))-(1-EXP(-200/参数配置!O127)))+参数配置!O125*(L123/(1-2^(-5)))+参数配置!O126*K123*(J123-(1-EXP(-200/参数配置!O127)))/((1-EXP(-1500/参数配置!O127))-(1-EXP(-200/参数配置!O127))))*100)</f>
        <v/>
      </c>
      <c r="N123" t="str">
        <f t="array" ref="N123">IF(G123&gt;0,RLD_Label(G123,H123,I123),"")</f>
        <v/>
      </c>
      <c r="O123">
        <v>6</v>
      </c>
      <c r="P123" s="25" t="str">
        <f>IFERROR(INDEX(参数配置!B:B,MATCH(O123,参数配置!A:A,0)),"")</f>
        <v>先易后难</v>
      </c>
    </row>
    <row r="124" ht="14.25" customHeight="1" spans="1:16">
      <c r="A124" s="26"/>
      <c r="B124" s="24">
        <v>123</v>
      </c>
      <c r="C124" s="24" t="s">
        <v>25</v>
      </c>
      <c r="D124" s="24">
        <v>0.85</v>
      </c>
      <c r="E124" s="25"/>
      <c r="F124" s="25"/>
      <c r="G124" s="24"/>
      <c r="H124" s="25">
        <f>IF(ISBLANK('1-200关设定'!W124),"",'1-200关设定'!W124)</f>
        <v>4</v>
      </c>
      <c r="I124" s="25">
        <f>IF(ISBLANK('1-200关设定'!V124),"",'1-200关设定'!V124)</f>
        <v>4</v>
      </c>
      <c r="J124" t="str">
        <f>IF(G124="","",1-EXP(-G124/参数配置!O128))</f>
        <v/>
      </c>
      <c r="K124">
        <f t="shared" si="2"/>
        <v>0.25</v>
      </c>
      <c r="L124">
        <f t="shared" si="3"/>
        <v>0.9375</v>
      </c>
      <c r="M124" t="str">
        <f>IF(G124="","",(参数配置!O124*K124+参数配置!O125*(J124-(1-EXP(-200/参数配置!O128)))/((1-EXP(-1500/参数配置!O128))-(1-EXP(-200/参数配置!O128)))+参数配置!O126*(L124/(1-2^(-5)))+参数配置!O127*K124*(J124-(1-EXP(-200/参数配置!O128)))/((1-EXP(-1500/参数配置!O128))-(1-EXP(-200/参数配置!O128))))*100)</f>
        <v/>
      </c>
      <c r="N124" t="str">
        <f t="array" ref="N124">IF(G124&gt;0,RLD_Label(G124,H124,I124),"")</f>
        <v/>
      </c>
      <c r="O124">
        <v>4</v>
      </c>
      <c r="P124" s="25" t="str">
        <f>IFERROR(INDEX(参数配置!B:B,MATCH(O124,参数配置!A:A,0)),"")</f>
        <v>双峰值</v>
      </c>
    </row>
    <row r="125" ht="14.25" customHeight="1" spans="1:16">
      <c r="A125" s="26"/>
      <c r="B125" s="24">
        <v>124</v>
      </c>
      <c r="C125" s="24" t="s">
        <v>32</v>
      </c>
      <c r="D125" s="24">
        <v>0.6</v>
      </c>
      <c r="E125" s="25"/>
      <c r="F125" s="25"/>
      <c r="G125" s="24"/>
      <c r="H125" s="25">
        <f>IF(ISBLANK('1-200关设定'!W125),"",'1-200关设定'!W125)</f>
        <v>4</v>
      </c>
      <c r="I125" s="25">
        <f>IF(ISBLANK('1-200关设定'!V125),"",'1-200关设定'!V125)</f>
        <v>6</v>
      </c>
      <c r="J125" t="str">
        <f>IF(G125="","",1-EXP(-G125/参数配置!O129))</f>
        <v/>
      </c>
      <c r="K125">
        <f t="shared" si="2"/>
        <v>0.25</v>
      </c>
      <c r="L125">
        <f t="shared" si="3"/>
        <v>0.984375</v>
      </c>
      <c r="M125" t="str">
        <f>IF(G125="","",(参数配置!O125*K125+参数配置!O126*(J125-(1-EXP(-200/参数配置!O129)))/((1-EXP(-1500/参数配置!O129))-(1-EXP(-200/参数配置!O129)))+参数配置!O127*(L125/(1-2^(-5)))+参数配置!O128*K125*(J125-(1-EXP(-200/参数配置!O129)))/((1-EXP(-1500/参数配置!O129))-(1-EXP(-200/参数配置!O129))))*100)</f>
        <v/>
      </c>
      <c r="N125" t="str">
        <f t="array" ref="N125">IF(G125&gt;0,RLD_Label(G125,H125,I125),"")</f>
        <v/>
      </c>
      <c r="O125">
        <v>6</v>
      </c>
      <c r="P125" s="25" t="str">
        <f>IFERROR(INDEX(参数配置!B:B,MATCH(O125,参数配置!A:A,0)),"")</f>
        <v>先易后难</v>
      </c>
    </row>
    <row r="126" ht="14.25" customHeight="1" spans="1:16">
      <c r="A126" s="26"/>
      <c r="B126" s="24">
        <v>125</v>
      </c>
      <c r="C126" s="24" t="s">
        <v>25</v>
      </c>
      <c r="D126" s="24">
        <v>0.85</v>
      </c>
      <c r="E126" s="25"/>
      <c r="F126" s="25"/>
      <c r="G126" s="24"/>
      <c r="H126" s="25">
        <f>IF(ISBLANK('1-200关设定'!W126),"",'1-200关设定'!W126)</f>
        <v>4</v>
      </c>
      <c r="I126" s="25">
        <f>IF(ISBLANK('1-200关设定'!V126),"",'1-200关设定'!V126)</f>
        <v>4</v>
      </c>
      <c r="J126" t="str">
        <f>IF(G126="","",1-EXP(-G126/参数配置!O130))</f>
        <v/>
      </c>
      <c r="K126">
        <f t="shared" si="2"/>
        <v>0.25</v>
      </c>
      <c r="L126">
        <f t="shared" si="3"/>
        <v>0.9375</v>
      </c>
      <c r="M126" t="str">
        <f>IF(G126="","",(参数配置!O126*K126+参数配置!O127*(J126-(1-EXP(-200/参数配置!O130)))/((1-EXP(-1500/参数配置!O130))-(1-EXP(-200/参数配置!O130)))+参数配置!O128*(L126/(1-2^(-5)))+参数配置!O129*K126*(J126-(1-EXP(-200/参数配置!O130)))/((1-EXP(-1500/参数配置!O130))-(1-EXP(-200/参数配置!O130))))*100)</f>
        <v/>
      </c>
      <c r="N126" t="str">
        <f t="array" ref="N126">IF(G126&gt;0,RLD_Label(G126,H126,I126),"")</f>
        <v/>
      </c>
      <c r="O126">
        <v>6</v>
      </c>
      <c r="P126" s="25" t="str">
        <f>IFERROR(INDEX(参数配置!B:B,MATCH(O126,参数配置!A:A,0)),"")</f>
        <v>先易后难</v>
      </c>
    </row>
    <row r="127" ht="14.25" customHeight="1" spans="1:16">
      <c r="A127" s="26"/>
      <c r="B127" s="24">
        <v>126</v>
      </c>
      <c r="C127" s="24" t="s">
        <v>25</v>
      </c>
      <c r="D127" s="24">
        <v>0.85</v>
      </c>
      <c r="E127" s="25"/>
      <c r="F127" s="25"/>
      <c r="G127" s="24"/>
      <c r="H127" s="25">
        <f>IF(ISBLANK('1-200关设定'!W127),"",'1-200关设定'!W127)</f>
        <v>4</v>
      </c>
      <c r="I127" s="25">
        <f>IF(ISBLANK('1-200关设定'!V127),"",'1-200关设定'!V127)</f>
        <v>4</v>
      </c>
      <c r="J127" t="str">
        <f>IF(G127="","",1-EXP(-G127/参数配置!O131))</f>
        <v/>
      </c>
      <c r="K127">
        <f t="shared" si="2"/>
        <v>0.25</v>
      </c>
      <c r="L127">
        <f t="shared" si="3"/>
        <v>0.9375</v>
      </c>
      <c r="M127" t="str">
        <f>IF(G127="","",(参数配置!O127*K127+参数配置!O128*(J127-(1-EXP(-200/参数配置!O131)))/((1-EXP(-1500/参数配置!O131))-(1-EXP(-200/参数配置!O131)))+参数配置!O129*(L127/(1-2^(-5)))+参数配置!O130*K127*(J127-(1-EXP(-200/参数配置!O131)))/((1-EXP(-1500/参数配置!O131))-(1-EXP(-200/参数配置!O131))))*100)</f>
        <v/>
      </c>
      <c r="N127" t="str">
        <f t="array" ref="N127">IF(G127&gt;0,RLD_Label(G127,H127,I127),"")</f>
        <v/>
      </c>
      <c r="O127">
        <v>5</v>
      </c>
      <c r="P127" s="25" t="str">
        <f>IFERROR(INDEX(参数配置!B:B,MATCH(O127,参数配置!A:A,0)),"")</f>
        <v>起死回生</v>
      </c>
    </row>
    <row r="128" ht="14.25" customHeight="1" spans="1:16">
      <c r="A128" s="26"/>
      <c r="B128" s="24">
        <v>127</v>
      </c>
      <c r="C128" s="24" t="s">
        <v>25</v>
      </c>
      <c r="D128" s="24">
        <v>0.85</v>
      </c>
      <c r="E128" s="25"/>
      <c r="F128" s="25"/>
      <c r="G128" s="24"/>
      <c r="H128" s="25">
        <f>IF(ISBLANK('1-200关设定'!W128),"",'1-200关设定'!W128)</f>
        <v>4</v>
      </c>
      <c r="I128" s="25">
        <f>IF(ISBLANK('1-200关设定'!V128),"",'1-200关设定'!V128)</f>
        <v>3</v>
      </c>
      <c r="J128" t="str">
        <f>IF(G128="","",1-EXP(-G128/参数配置!O132))</f>
        <v/>
      </c>
      <c r="K128">
        <f t="shared" si="2"/>
        <v>0.25</v>
      </c>
      <c r="L128">
        <f t="shared" si="3"/>
        <v>0.875</v>
      </c>
      <c r="M128" t="str">
        <f>IF(G128="","",(参数配置!O128*K128+参数配置!O129*(J128-(1-EXP(-200/参数配置!O132)))/((1-EXP(-1500/参数配置!O132))-(1-EXP(-200/参数配置!O132)))+参数配置!O130*(L128/(1-2^(-5)))+参数配置!O131*K128*(J128-(1-EXP(-200/参数配置!O132)))/((1-EXP(-1500/参数配置!O132))-(1-EXP(-200/参数配置!O132))))*100)</f>
        <v/>
      </c>
      <c r="N128" t="str">
        <f t="array" ref="N128">IF(G128&gt;0,RLD_Label(G128,H128,I128),"")</f>
        <v/>
      </c>
      <c r="O128">
        <v>6</v>
      </c>
      <c r="P128" s="25" t="str">
        <f>IFERROR(INDEX(参数配置!B:B,MATCH(O128,参数配置!A:A,0)),"")</f>
        <v>先易后难</v>
      </c>
    </row>
    <row r="129" ht="14.25" customHeight="1" spans="1:16">
      <c r="A129" s="26"/>
      <c r="B129" s="24">
        <v>128</v>
      </c>
      <c r="C129" s="24" t="s">
        <v>41</v>
      </c>
      <c r="D129" s="24">
        <v>0.4</v>
      </c>
      <c r="E129" s="25"/>
      <c r="F129" s="25"/>
      <c r="G129" s="24"/>
      <c r="H129" s="25">
        <f>IF(ISBLANK('1-200关设定'!W129),"",'1-200关设定'!W129)</f>
        <v>5</v>
      </c>
      <c r="I129" s="25">
        <f>IF(ISBLANK('1-200关设定'!V129),"",'1-200关设定'!V129)</f>
        <v>3</v>
      </c>
      <c r="J129" t="str">
        <f>IF(G129="","",1-EXP(-G129/参数配置!O133))</f>
        <v/>
      </c>
      <c r="K129">
        <f t="shared" si="2"/>
        <v>0.5625</v>
      </c>
      <c r="L129">
        <f t="shared" si="3"/>
        <v>0.875</v>
      </c>
      <c r="M129" t="str">
        <f>IF(G129="","",(参数配置!O129*K129+参数配置!O130*(J129-(1-EXP(-200/参数配置!O133)))/((1-EXP(-1500/参数配置!O133))-(1-EXP(-200/参数配置!O133)))+参数配置!O131*(L129/(1-2^(-5)))+参数配置!O132*K129*(J129-(1-EXP(-200/参数配置!O133)))/((1-EXP(-1500/参数配置!O133))-(1-EXP(-200/参数配置!O133))))*100)</f>
        <v/>
      </c>
      <c r="N129" t="str">
        <f t="array" ref="N129">IF(G129&gt;0,RLD_Label(G129,H129,I129),"")</f>
        <v/>
      </c>
      <c r="O129">
        <v>6</v>
      </c>
      <c r="P129" s="25" t="str">
        <f>IFERROR(INDEX(参数配置!B:B,MATCH(O129,参数配置!A:A,0)),"")</f>
        <v>先易后难</v>
      </c>
    </row>
    <row r="130" ht="14.25" customHeight="1" spans="1:16">
      <c r="A130" s="26"/>
      <c r="B130" s="24">
        <v>129</v>
      </c>
      <c r="C130" s="24" t="s">
        <v>25</v>
      </c>
      <c r="D130" s="24">
        <v>0.85</v>
      </c>
      <c r="E130" s="25"/>
      <c r="F130" s="25"/>
      <c r="G130" s="24"/>
      <c r="H130" s="25">
        <f>IF(ISBLANK('1-200关设定'!W130),"",'1-200关设定'!W130)</f>
        <v>5</v>
      </c>
      <c r="I130" s="25">
        <f>IF(ISBLANK('1-200关设定'!V130),"",'1-200关设定'!V130)</f>
        <v>3</v>
      </c>
      <c r="J130" t="str">
        <f>IF(G130="","",1-EXP(-G130/参数配置!O134))</f>
        <v/>
      </c>
      <c r="K130">
        <f t="shared" ref="K130:K193" si="4">IF(H130="","",((H130-2)/4)^2)</f>
        <v>0.5625</v>
      </c>
      <c r="L130">
        <f t="shared" ref="L130:L193" si="5">IF(I130="","",1-2^(-I130))</f>
        <v>0.875</v>
      </c>
      <c r="M130" t="str">
        <f>IF(G130="","",(参数配置!O130*K130+参数配置!O131*(J130-(1-EXP(-200/参数配置!O134)))/((1-EXP(-1500/参数配置!O134))-(1-EXP(-200/参数配置!O134)))+参数配置!O132*(L130/(1-2^(-5)))+参数配置!O133*K130*(J130-(1-EXP(-200/参数配置!O134)))/((1-EXP(-1500/参数配置!O134))-(1-EXP(-200/参数配置!O134))))*100)</f>
        <v/>
      </c>
      <c r="N130" t="str">
        <f t="array" ref="N130">IF(G130&gt;0,RLD_Label(G130,H130,I130),"")</f>
        <v/>
      </c>
      <c r="O130">
        <v>4</v>
      </c>
      <c r="P130" s="25" t="str">
        <f>IFERROR(INDEX(参数配置!B:B,MATCH(O130,参数配置!A:A,0)),"")</f>
        <v>双峰值</v>
      </c>
    </row>
    <row r="131" ht="14.25" customHeight="1" spans="1:16">
      <c r="A131" s="26"/>
      <c r="B131" s="24">
        <v>130</v>
      </c>
      <c r="C131" s="24" t="s">
        <v>25</v>
      </c>
      <c r="D131" s="24">
        <v>0.85</v>
      </c>
      <c r="E131" s="25"/>
      <c r="F131" s="25"/>
      <c r="G131" s="24"/>
      <c r="H131" s="25">
        <f>IF(ISBLANK('1-200关设定'!W131),"",'1-200关设定'!W131)</f>
        <v>4</v>
      </c>
      <c r="I131" s="25">
        <f>IF(ISBLANK('1-200关设定'!V131),"",'1-200关设定'!V131)</f>
        <v>4</v>
      </c>
      <c r="J131" t="str">
        <f>IF(G131="","",1-EXP(-G131/参数配置!O135))</f>
        <v/>
      </c>
      <c r="K131">
        <f t="shared" si="4"/>
        <v>0.25</v>
      </c>
      <c r="L131">
        <f t="shared" si="5"/>
        <v>0.9375</v>
      </c>
      <c r="M131" t="str">
        <f>IF(G131="","",(参数配置!O131*K131+参数配置!O132*(J131-(1-EXP(-200/参数配置!O135)))/((1-EXP(-1500/参数配置!O135))-(1-EXP(-200/参数配置!O135)))+参数配置!O133*(L131/(1-2^(-5)))+参数配置!O134*K131*(J131-(1-EXP(-200/参数配置!O135)))/((1-EXP(-1500/参数配置!O135))-(1-EXP(-200/参数配置!O135))))*100)</f>
        <v/>
      </c>
      <c r="N131" t="str">
        <f t="array" ref="N131">IF(G131&gt;0,RLD_Label(G131,H131,I131),"")</f>
        <v/>
      </c>
      <c r="O131">
        <v>6</v>
      </c>
      <c r="P131" s="25" t="str">
        <f>IFERROR(INDEX(参数配置!B:B,MATCH(O131,参数配置!A:A,0)),"")</f>
        <v>先易后难</v>
      </c>
    </row>
    <row r="132" ht="14.25" customHeight="1" spans="1:16">
      <c r="A132" s="26" t="s">
        <v>57</v>
      </c>
      <c r="B132" s="24">
        <v>131</v>
      </c>
      <c r="C132" s="24" t="s">
        <v>25</v>
      </c>
      <c r="D132" s="24">
        <v>0.85</v>
      </c>
      <c r="E132" s="25"/>
      <c r="F132" s="25"/>
      <c r="G132" s="24"/>
      <c r="H132" s="25">
        <f>IF(ISBLANK('1-200关设定'!W132),"",'1-200关设定'!W132)</f>
        <v>4</v>
      </c>
      <c r="I132" s="25">
        <f>IF(ISBLANK('1-200关设定'!V132),"",'1-200关设定'!V132)</f>
        <v>5</v>
      </c>
      <c r="J132" t="str">
        <f>IF(G132="","",1-EXP(-G132/参数配置!O136))</f>
        <v/>
      </c>
      <c r="K132">
        <f t="shared" si="4"/>
        <v>0.25</v>
      </c>
      <c r="L132">
        <f t="shared" si="5"/>
        <v>0.96875</v>
      </c>
      <c r="M132" t="str">
        <f>IF(G132="","",(参数配置!O132*K132+参数配置!O133*(J132-(1-EXP(-200/参数配置!O136)))/((1-EXP(-1500/参数配置!O136))-(1-EXP(-200/参数配置!O136)))+参数配置!O134*(L132/(1-2^(-5)))+参数配置!O135*K132*(J132-(1-EXP(-200/参数配置!O136)))/((1-EXP(-1500/参数配置!O136))-(1-EXP(-200/参数配置!O136))))*100)</f>
        <v/>
      </c>
      <c r="N132" t="str">
        <f t="array" ref="N132">IF(G132&gt;0,RLD_Label(G132,H132,I132),"")</f>
        <v/>
      </c>
      <c r="O132">
        <v>6</v>
      </c>
      <c r="P132" s="25" t="str">
        <f>IFERROR(INDEX(参数配置!B:B,MATCH(O132,参数配置!A:A,0)),"")</f>
        <v>先易后难</v>
      </c>
    </row>
    <row r="133" ht="14.25" customHeight="1" spans="1:16">
      <c r="A133" s="26"/>
      <c r="B133" s="24">
        <v>132</v>
      </c>
      <c r="C133" s="24" t="s">
        <v>25</v>
      </c>
      <c r="D133" s="24">
        <v>0.85</v>
      </c>
      <c r="E133" s="25"/>
      <c r="F133" s="25"/>
      <c r="G133" s="24"/>
      <c r="H133" s="25">
        <f>IF(ISBLANK('1-200关设定'!W133),"",'1-200关设定'!W133)</f>
        <v>4</v>
      </c>
      <c r="I133" s="25">
        <f>IF(ISBLANK('1-200关设定'!V133),"",'1-200关设定'!V133)</f>
        <v>4</v>
      </c>
      <c r="J133" t="str">
        <f>IF(G133="","",1-EXP(-G133/参数配置!O137))</f>
        <v/>
      </c>
      <c r="K133">
        <f t="shared" si="4"/>
        <v>0.25</v>
      </c>
      <c r="L133">
        <f t="shared" si="5"/>
        <v>0.9375</v>
      </c>
      <c r="M133" t="str">
        <f>IF(G133="","",(参数配置!O133*K133+参数配置!O134*(J133-(1-EXP(-200/参数配置!O137)))/((1-EXP(-1500/参数配置!O137))-(1-EXP(-200/参数配置!O137)))+参数配置!O135*(L133/(1-2^(-5)))+参数配置!O136*K133*(J133-(1-EXP(-200/参数配置!O137)))/((1-EXP(-1500/参数配置!O137))-(1-EXP(-200/参数配置!O137))))*100)</f>
        <v/>
      </c>
      <c r="N133" t="str">
        <f t="array" ref="N133">IF(G133&gt;0,RLD_Label(G133,H133,I133),"")</f>
        <v/>
      </c>
      <c r="O133">
        <v>5</v>
      </c>
      <c r="P133" s="25" t="str">
        <f>IFERROR(INDEX(参数配置!B:B,MATCH(O133,参数配置!A:A,0)),"")</f>
        <v>起死回生</v>
      </c>
    </row>
    <row r="134" ht="14.25" customHeight="1" spans="1:16">
      <c r="A134" s="26"/>
      <c r="B134" s="24">
        <v>133</v>
      </c>
      <c r="C134" s="24" t="s">
        <v>25</v>
      </c>
      <c r="D134" s="24">
        <v>0.85</v>
      </c>
      <c r="E134" s="25"/>
      <c r="F134" s="25"/>
      <c r="G134" s="24"/>
      <c r="H134" s="25">
        <f>IF(ISBLANK('1-200关设定'!W134),"",'1-200关设定'!W134)</f>
        <v>4</v>
      </c>
      <c r="I134" s="25">
        <f>IF(ISBLANK('1-200关设定'!V134),"",'1-200关设定'!V134)</f>
        <v>4</v>
      </c>
      <c r="J134" t="str">
        <f>IF(G134="","",1-EXP(-G134/参数配置!O138))</f>
        <v/>
      </c>
      <c r="K134">
        <f t="shared" si="4"/>
        <v>0.25</v>
      </c>
      <c r="L134">
        <f t="shared" si="5"/>
        <v>0.9375</v>
      </c>
      <c r="M134" t="str">
        <f>IF(G134="","",(参数配置!O134*K134+参数配置!O135*(J134-(1-EXP(-200/参数配置!O138)))/((1-EXP(-1500/参数配置!O138))-(1-EXP(-200/参数配置!O138)))+参数配置!O136*(L134/(1-2^(-5)))+参数配置!O137*K134*(J134-(1-EXP(-200/参数配置!O138)))/((1-EXP(-1500/参数配置!O138))-(1-EXP(-200/参数配置!O138))))*100)</f>
        <v/>
      </c>
      <c r="N134" t="str">
        <f t="array" ref="N134">IF(G134&gt;0,RLD_Label(G134,H134,I134),"")</f>
        <v/>
      </c>
      <c r="O134">
        <v>6</v>
      </c>
      <c r="P134" s="25" t="str">
        <f>IFERROR(INDEX(参数配置!B:B,MATCH(O134,参数配置!A:A,0)),"")</f>
        <v>先易后难</v>
      </c>
    </row>
    <row r="135" ht="14.25" customHeight="1" spans="1:16">
      <c r="A135" s="26"/>
      <c r="B135" s="24">
        <v>134</v>
      </c>
      <c r="C135" s="24" t="s">
        <v>32</v>
      </c>
      <c r="D135" s="24">
        <v>0.6</v>
      </c>
      <c r="E135" s="25"/>
      <c r="F135" s="25"/>
      <c r="G135" s="24"/>
      <c r="H135" s="25">
        <f>IF(ISBLANK('1-200关设定'!W135),"",'1-200关设定'!W135)</f>
        <v>4</v>
      </c>
      <c r="I135" s="25">
        <f>IF(ISBLANK('1-200关设定'!V135),"",'1-200关设定'!V135)</f>
        <v>4</v>
      </c>
      <c r="J135" t="str">
        <f>IF(G135="","",1-EXP(-G135/参数配置!O139))</f>
        <v/>
      </c>
      <c r="K135">
        <f t="shared" si="4"/>
        <v>0.25</v>
      </c>
      <c r="L135">
        <f t="shared" si="5"/>
        <v>0.9375</v>
      </c>
      <c r="M135" t="str">
        <f>IF(G135="","",(参数配置!O135*K135+参数配置!O136*(J135-(1-EXP(-200/参数配置!O139)))/((1-EXP(-1500/参数配置!O139))-(1-EXP(-200/参数配置!O139)))+参数配置!O137*(L135/(1-2^(-5)))+参数配置!O138*K135*(J135-(1-EXP(-200/参数配置!O139)))/((1-EXP(-1500/参数配置!O139))-(1-EXP(-200/参数配置!O139))))*100)</f>
        <v/>
      </c>
      <c r="N135" t="str">
        <f t="array" ref="N135">IF(G135&gt;0,RLD_Label(G135,H135,I135),"")</f>
        <v/>
      </c>
      <c r="O135">
        <v>6</v>
      </c>
      <c r="P135" s="25" t="str">
        <f>IFERROR(INDEX(参数配置!B:B,MATCH(O135,参数配置!A:A,0)),"")</f>
        <v>先易后难</v>
      </c>
    </row>
    <row r="136" ht="14.25" customHeight="1" spans="1:16">
      <c r="A136" s="26"/>
      <c r="B136" s="24">
        <v>135</v>
      </c>
      <c r="C136" s="24" t="s">
        <v>25</v>
      </c>
      <c r="D136" s="24">
        <v>0.85</v>
      </c>
      <c r="E136" s="25"/>
      <c r="F136" s="25"/>
      <c r="G136" s="24"/>
      <c r="H136" s="25">
        <f>IF(ISBLANK('1-200关设定'!W136),"",'1-200关设定'!W136)</f>
        <v>4</v>
      </c>
      <c r="I136" s="25">
        <f>IF(ISBLANK('1-200关设定'!V136),"",'1-200关设定'!V136)</f>
        <v>4</v>
      </c>
      <c r="J136" t="str">
        <f>IF(G136="","",1-EXP(-G136/参数配置!O140))</f>
        <v/>
      </c>
      <c r="K136">
        <f t="shared" si="4"/>
        <v>0.25</v>
      </c>
      <c r="L136">
        <f t="shared" si="5"/>
        <v>0.9375</v>
      </c>
      <c r="M136" t="str">
        <f>IF(G136="","",(参数配置!O136*K136+参数配置!O137*(J136-(1-EXP(-200/参数配置!O140)))/((1-EXP(-1500/参数配置!O140))-(1-EXP(-200/参数配置!O140)))+参数配置!O138*(L136/(1-2^(-5)))+参数配置!O139*K136*(J136-(1-EXP(-200/参数配置!O140)))/((1-EXP(-1500/参数配置!O140))-(1-EXP(-200/参数配置!O140))))*100)</f>
        <v/>
      </c>
      <c r="N136" t="str">
        <f t="array" ref="N136">IF(G136&gt;0,RLD_Label(G136,H136,I136),"")</f>
        <v/>
      </c>
      <c r="O136">
        <v>2</v>
      </c>
      <c r="P136" s="25" t="str">
        <f>IFERROR(INDEX(参数配置!B:B,MATCH(O136,参数配置!A:A,0)),"")</f>
        <v>波动前进</v>
      </c>
    </row>
    <row r="137" ht="14.25" customHeight="1" spans="1:16">
      <c r="A137" s="26"/>
      <c r="B137" s="24">
        <v>136</v>
      </c>
      <c r="C137" s="24" t="s">
        <v>25</v>
      </c>
      <c r="D137" s="24">
        <v>0.85</v>
      </c>
      <c r="E137" s="25"/>
      <c r="F137" s="25"/>
      <c r="G137" s="24"/>
      <c r="H137" s="25">
        <f>IF(ISBLANK('1-200关设定'!W137),"",'1-200关设定'!W137)</f>
        <v>4</v>
      </c>
      <c r="I137" s="25">
        <f>IF(ISBLANK('1-200关设定'!V137),"",'1-200关设定'!V137)</f>
        <v>4</v>
      </c>
      <c r="J137" t="str">
        <f>IF(G137="","",1-EXP(-G137/参数配置!O141))</f>
        <v/>
      </c>
      <c r="K137">
        <f t="shared" si="4"/>
        <v>0.25</v>
      </c>
      <c r="L137">
        <f t="shared" si="5"/>
        <v>0.9375</v>
      </c>
      <c r="M137" t="str">
        <f>IF(G137="","",(参数配置!O137*K137+参数配置!O138*(J137-(1-EXP(-200/参数配置!O141)))/((1-EXP(-1500/参数配置!O141))-(1-EXP(-200/参数配置!O141)))+参数配置!O139*(L137/(1-2^(-5)))+参数配置!O140*K137*(J137-(1-EXP(-200/参数配置!O141)))/((1-EXP(-1500/参数配置!O141))-(1-EXP(-200/参数配置!O141))))*100)</f>
        <v/>
      </c>
      <c r="N137" t="str">
        <f t="array" ref="N137">IF(G137&gt;0,RLD_Label(G137,H137,I137),"")</f>
        <v/>
      </c>
      <c r="O137">
        <v>6</v>
      </c>
      <c r="P137" s="25" t="str">
        <f>IFERROR(INDEX(参数配置!B:B,MATCH(O137,参数配置!A:A,0)),"")</f>
        <v>先易后难</v>
      </c>
    </row>
    <row r="138" ht="14.25" customHeight="1" spans="1:16">
      <c r="A138" s="26"/>
      <c r="B138" s="24">
        <v>137</v>
      </c>
      <c r="C138" s="24" t="s">
        <v>41</v>
      </c>
      <c r="D138" s="24">
        <v>0.4</v>
      </c>
      <c r="E138" s="25"/>
      <c r="F138" s="25"/>
      <c r="G138" s="24"/>
      <c r="H138" s="25">
        <f>IF(ISBLANK('1-200关设定'!W138),"",'1-200关设定'!W138)</f>
        <v>4</v>
      </c>
      <c r="I138" s="25">
        <f>IF(ISBLANK('1-200关设定'!V138),"",'1-200关设定'!V138)</f>
        <v>5</v>
      </c>
      <c r="J138" t="str">
        <f>IF(G138="","",1-EXP(-G138/参数配置!O142))</f>
        <v/>
      </c>
      <c r="K138">
        <f t="shared" si="4"/>
        <v>0.25</v>
      </c>
      <c r="L138">
        <f t="shared" si="5"/>
        <v>0.96875</v>
      </c>
      <c r="M138" t="str">
        <f>IF(G138="","",(参数配置!O138*K138+参数配置!O139*(J138-(1-EXP(-200/参数配置!O142)))/((1-EXP(-1500/参数配置!O142))-(1-EXP(-200/参数配置!O142)))+参数配置!O140*(L138/(1-2^(-5)))+参数配置!O141*K138*(J138-(1-EXP(-200/参数配置!O142)))/((1-EXP(-1500/参数配置!O142))-(1-EXP(-200/参数配置!O142))))*100)</f>
        <v/>
      </c>
      <c r="N138" t="str">
        <f t="array" ref="N138">IF(G138&gt;0,RLD_Label(G138,H138,I138),"")</f>
        <v/>
      </c>
      <c r="O138">
        <v>6</v>
      </c>
      <c r="P138" s="25" t="str">
        <f>IFERROR(INDEX(参数配置!B:B,MATCH(O138,参数配置!A:A,0)),"")</f>
        <v>先易后难</v>
      </c>
    </row>
    <row r="139" ht="14.25" customHeight="1" spans="1:16">
      <c r="A139" s="26"/>
      <c r="B139" s="24">
        <v>138</v>
      </c>
      <c r="C139" s="24" t="s">
        <v>25</v>
      </c>
      <c r="D139" s="24">
        <v>0.85</v>
      </c>
      <c r="E139" s="25"/>
      <c r="F139" s="25"/>
      <c r="G139" s="24"/>
      <c r="H139" s="25">
        <f>IF(ISBLANK('1-200关设定'!W139),"",'1-200关设定'!W139)</f>
        <v>4</v>
      </c>
      <c r="I139" s="25">
        <f>IF(ISBLANK('1-200关设定'!V139),"",'1-200关设定'!V139)</f>
        <v>3</v>
      </c>
      <c r="J139" t="str">
        <f>IF(G139="","",1-EXP(-G139/参数配置!O143))</f>
        <v/>
      </c>
      <c r="K139">
        <f t="shared" si="4"/>
        <v>0.25</v>
      </c>
      <c r="L139">
        <f t="shared" si="5"/>
        <v>0.875</v>
      </c>
      <c r="M139" t="str">
        <f>IF(G139="","",(参数配置!O139*K139+参数配置!O140*(J139-(1-EXP(-200/参数配置!O143)))/((1-EXP(-1500/参数配置!O143))-(1-EXP(-200/参数配置!O143)))+参数配置!O141*(L139/(1-2^(-5)))+参数配置!O142*K139*(J139-(1-EXP(-200/参数配置!O143)))/((1-EXP(-1500/参数配置!O143))-(1-EXP(-200/参数配置!O143))))*100)</f>
        <v/>
      </c>
      <c r="N139" t="str">
        <f t="array" ref="N139">IF(G139&gt;0,RLD_Label(G139,H139,I139),"")</f>
        <v/>
      </c>
      <c r="O139">
        <v>5</v>
      </c>
      <c r="P139" s="25" t="str">
        <f>IFERROR(INDEX(参数配置!B:B,MATCH(O139,参数配置!A:A,0)),"")</f>
        <v>起死回生</v>
      </c>
    </row>
    <row r="140" ht="14.25" customHeight="1" spans="1:16">
      <c r="A140" s="26"/>
      <c r="B140" s="24">
        <v>139</v>
      </c>
      <c r="C140" s="24" t="s">
        <v>25</v>
      </c>
      <c r="D140" s="24">
        <v>0.85</v>
      </c>
      <c r="E140" s="25"/>
      <c r="F140" s="25"/>
      <c r="G140" s="24"/>
      <c r="H140" s="25">
        <f>IF(ISBLANK('1-200关设定'!W140),"",'1-200关设定'!W140)</f>
        <v>4</v>
      </c>
      <c r="I140" s="25">
        <f>IF(ISBLANK('1-200关设定'!V140),"",'1-200关设定'!V140)</f>
        <v>5</v>
      </c>
      <c r="J140" t="str">
        <f>IF(G140="","",1-EXP(-G140/参数配置!O144))</f>
        <v/>
      </c>
      <c r="K140">
        <f t="shared" si="4"/>
        <v>0.25</v>
      </c>
      <c r="L140">
        <f t="shared" si="5"/>
        <v>0.96875</v>
      </c>
      <c r="M140" t="str">
        <f>IF(G140="","",(参数配置!O140*K140+参数配置!O141*(J140-(1-EXP(-200/参数配置!O144)))/((1-EXP(-1500/参数配置!O144))-(1-EXP(-200/参数配置!O144)))+参数配置!O142*(L140/(1-2^(-5)))+参数配置!O143*K140*(J140-(1-EXP(-200/参数配置!O144)))/((1-EXP(-1500/参数配置!O144))-(1-EXP(-200/参数配置!O144))))*100)</f>
        <v/>
      </c>
      <c r="N140" t="str">
        <f t="array" ref="N140">IF(G140&gt;0,RLD_Label(G140,H140,I140),"")</f>
        <v/>
      </c>
      <c r="O140">
        <v>6</v>
      </c>
      <c r="P140" s="25" t="str">
        <f>IFERROR(INDEX(参数配置!B:B,MATCH(O140,参数配置!A:A,0)),"")</f>
        <v>先易后难</v>
      </c>
    </row>
    <row r="141" ht="14.25" customHeight="1" spans="1:16">
      <c r="A141" s="26"/>
      <c r="B141" s="24">
        <v>140</v>
      </c>
      <c r="C141" s="24" t="s">
        <v>25</v>
      </c>
      <c r="D141" s="24">
        <v>0.85</v>
      </c>
      <c r="E141" s="25"/>
      <c r="F141" s="25"/>
      <c r="G141" s="24"/>
      <c r="H141" s="25">
        <f>IF(ISBLANK('1-200关设定'!W141),"",'1-200关设定'!W141)</f>
        <v>4</v>
      </c>
      <c r="I141" s="25">
        <f>IF(ISBLANK('1-200关设定'!V141),"",'1-200关设定'!V141)</f>
        <v>4</v>
      </c>
      <c r="J141" t="str">
        <f>IF(G141="","",1-EXP(-G141/参数配置!O145))</f>
        <v/>
      </c>
      <c r="K141">
        <f t="shared" si="4"/>
        <v>0.25</v>
      </c>
      <c r="L141">
        <f t="shared" si="5"/>
        <v>0.9375</v>
      </c>
      <c r="M141" t="str">
        <f>IF(G141="","",(参数配置!O141*K141+参数配置!O142*(J141-(1-EXP(-200/参数配置!O145)))/((1-EXP(-1500/参数配置!O145))-(1-EXP(-200/参数配置!O145)))+参数配置!O143*(L141/(1-2^(-5)))+参数配置!O144*K141*(J141-(1-EXP(-200/参数配置!O145)))/((1-EXP(-1500/参数配置!O145))-(1-EXP(-200/参数配置!O145))))*100)</f>
        <v/>
      </c>
      <c r="N141" t="str">
        <f t="array" ref="N141">IF(G141&gt;0,RLD_Label(G141,H141,I141),"")</f>
        <v/>
      </c>
      <c r="O141">
        <v>6</v>
      </c>
      <c r="P141" s="25" t="str">
        <f>IFERROR(INDEX(参数配置!B:B,MATCH(O141,参数配置!A:A,0)),"")</f>
        <v>先易后难</v>
      </c>
    </row>
    <row r="142" ht="14.25" customHeight="1" spans="1:16">
      <c r="A142" s="26"/>
      <c r="B142" s="24">
        <v>141</v>
      </c>
      <c r="C142" s="24" t="s">
        <v>32</v>
      </c>
      <c r="D142" s="24">
        <v>0.6</v>
      </c>
      <c r="E142" s="25"/>
      <c r="F142" s="25"/>
      <c r="G142" s="24"/>
      <c r="H142" s="25">
        <f>IF(ISBLANK('1-200关设定'!W142),"",'1-200关设定'!W142)</f>
        <v>5</v>
      </c>
      <c r="I142" s="25">
        <f>IF(ISBLANK('1-200关设定'!V142),"",'1-200关设定'!V142)</f>
        <v>4</v>
      </c>
      <c r="J142" t="str">
        <f>IF(G142="","",1-EXP(-G142/参数配置!O146))</f>
        <v/>
      </c>
      <c r="K142">
        <f t="shared" si="4"/>
        <v>0.5625</v>
      </c>
      <c r="L142">
        <f t="shared" si="5"/>
        <v>0.9375</v>
      </c>
      <c r="M142" t="str">
        <f>IF(G142="","",(参数配置!O142*K142+参数配置!O143*(J142-(1-EXP(-200/参数配置!O146)))/((1-EXP(-1500/参数配置!O146))-(1-EXP(-200/参数配置!O146)))+参数配置!O144*(L142/(1-2^(-5)))+参数配置!O145*K142*(J142-(1-EXP(-200/参数配置!O146)))/((1-EXP(-1500/参数配置!O146))-(1-EXP(-200/参数配置!O146))))*100)</f>
        <v/>
      </c>
      <c r="N142" t="str">
        <f t="array" ref="N142">IF(G142&gt;0,RLD_Label(G142,H142,I142),"")</f>
        <v/>
      </c>
      <c r="O142">
        <v>4</v>
      </c>
      <c r="P142" s="25" t="str">
        <f>IFERROR(INDEX(参数配置!B:B,MATCH(O142,参数配置!A:A,0)),"")</f>
        <v>双峰值</v>
      </c>
    </row>
    <row r="143" ht="14.25" customHeight="1" spans="1:16">
      <c r="A143" s="26"/>
      <c r="B143" s="24">
        <v>142</v>
      </c>
      <c r="C143" s="24" t="s">
        <v>25</v>
      </c>
      <c r="D143" s="24">
        <v>0.85</v>
      </c>
      <c r="E143" s="25"/>
      <c r="F143" s="25"/>
      <c r="G143" s="24"/>
      <c r="H143" s="25">
        <f>IF(ISBLANK('1-200关设定'!W143),"",'1-200关设定'!W143)</f>
        <v>4</v>
      </c>
      <c r="I143" s="25">
        <f>IF(ISBLANK('1-200关设定'!V143),"",'1-200关设定'!V143)</f>
        <v>4</v>
      </c>
      <c r="J143" t="str">
        <f>IF(G143="","",1-EXP(-G143/参数配置!O147))</f>
        <v/>
      </c>
      <c r="K143">
        <f t="shared" si="4"/>
        <v>0.25</v>
      </c>
      <c r="L143">
        <f t="shared" si="5"/>
        <v>0.9375</v>
      </c>
      <c r="M143" t="str">
        <f>IF(G143="","",(参数配置!O143*K143+参数配置!O144*(J143-(1-EXP(-200/参数配置!O147)))/((1-EXP(-1500/参数配置!O147))-(1-EXP(-200/参数配置!O147)))+参数配置!O145*(L143/(1-2^(-5)))+参数配置!O146*K143*(J143-(1-EXP(-200/参数配置!O147)))/((1-EXP(-1500/参数配置!O147))-(1-EXP(-200/参数配置!O147))))*100)</f>
        <v/>
      </c>
      <c r="N143" t="str">
        <f t="array" ref="N143">IF(G143&gt;0,RLD_Label(G143,H143,I143),"")</f>
        <v/>
      </c>
      <c r="O143">
        <v>6</v>
      </c>
      <c r="P143" s="25" t="str">
        <f>IFERROR(INDEX(参数配置!B:B,MATCH(O143,参数配置!A:A,0)),"")</f>
        <v>先易后难</v>
      </c>
    </row>
    <row r="144" ht="14.25" customHeight="1" spans="1:16">
      <c r="A144" s="26"/>
      <c r="B144" s="24">
        <v>143</v>
      </c>
      <c r="C144" s="24" t="s">
        <v>25</v>
      </c>
      <c r="D144" s="24">
        <v>0.85</v>
      </c>
      <c r="E144" s="25"/>
      <c r="F144" s="25"/>
      <c r="G144" s="24"/>
      <c r="H144" s="25">
        <f>IF(ISBLANK('1-200关设定'!W144),"",'1-200关设定'!W144)</f>
        <v>4</v>
      </c>
      <c r="I144" s="25">
        <f>IF(ISBLANK('1-200关设定'!V144),"",'1-200关设定'!V144)</f>
        <v>4</v>
      </c>
      <c r="J144" t="str">
        <f>IF(G144="","",1-EXP(-G144/参数配置!O148))</f>
        <v/>
      </c>
      <c r="K144">
        <f t="shared" si="4"/>
        <v>0.25</v>
      </c>
      <c r="L144">
        <f t="shared" si="5"/>
        <v>0.9375</v>
      </c>
      <c r="M144" t="str">
        <f>IF(G144="","",(参数配置!O144*K144+参数配置!O145*(J144-(1-EXP(-200/参数配置!O148)))/((1-EXP(-1500/参数配置!O148))-(1-EXP(-200/参数配置!O148)))+参数配置!O146*(L144/(1-2^(-5)))+参数配置!O147*K144*(J144-(1-EXP(-200/参数配置!O148)))/((1-EXP(-1500/参数配置!O148))-(1-EXP(-200/参数配置!O148))))*100)</f>
        <v/>
      </c>
      <c r="N144" t="str">
        <f t="array" ref="N144">IF(G144&gt;0,RLD_Label(G144,H144,I144),"")</f>
        <v/>
      </c>
      <c r="O144">
        <v>6</v>
      </c>
      <c r="P144" s="25" t="str">
        <f>IFERROR(INDEX(参数配置!B:B,MATCH(O144,参数配置!A:A,0)),"")</f>
        <v>先易后难</v>
      </c>
    </row>
    <row r="145" ht="14.25" customHeight="1" spans="1:16">
      <c r="A145" s="26"/>
      <c r="B145" s="24">
        <v>144</v>
      </c>
      <c r="C145" s="24" t="s">
        <v>25</v>
      </c>
      <c r="D145" s="24">
        <v>0.85</v>
      </c>
      <c r="E145" s="25"/>
      <c r="F145" s="25"/>
      <c r="G145" s="24"/>
      <c r="H145" s="25">
        <f>IF(ISBLANK('1-200关设定'!W145),"",'1-200关设定'!W145)</f>
        <v>4</v>
      </c>
      <c r="I145" s="25">
        <f>IF(ISBLANK('1-200关设定'!V145),"",'1-200关设定'!V145)</f>
        <v>4</v>
      </c>
      <c r="J145" t="str">
        <f>IF(G145="","",1-EXP(-G145/参数配置!O149))</f>
        <v/>
      </c>
      <c r="K145">
        <f t="shared" si="4"/>
        <v>0.25</v>
      </c>
      <c r="L145">
        <f t="shared" si="5"/>
        <v>0.9375</v>
      </c>
      <c r="M145" t="str">
        <f>IF(G145="","",(参数配置!O145*K145+参数配置!O146*(J145-(1-EXP(-200/参数配置!O149)))/((1-EXP(-1500/参数配置!O149))-(1-EXP(-200/参数配置!O149)))+参数配置!O147*(L145/(1-2^(-5)))+参数配置!O148*K145*(J145-(1-EXP(-200/参数配置!O149)))/((1-EXP(-1500/参数配置!O149))-(1-EXP(-200/参数配置!O149))))*100)</f>
        <v/>
      </c>
      <c r="N145" t="str">
        <f t="array" ref="N145">IF(G145&gt;0,RLD_Label(G145,H145,I145),"")</f>
        <v/>
      </c>
      <c r="O145">
        <v>7</v>
      </c>
      <c r="P145" s="25" t="str">
        <f>IFERROR(INDEX(参数配置!B:B,MATCH(O145,参数配置!A:A,0)),"")</f>
        <v>先难后易</v>
      </c>
    </row>
    <row r="146" ht="14.25" customHeight="1" spans="1:16">
      <c r="A146" s="26"/>
      <c r="B146" s="24">
        <v>145</v>
      </c>
      <c r="C146" s="24" t="s">
        <v>32</v>
      </c>
      <c r="D146" s="24">
        <v>0.6</v>
      </c>
      <c r="E146" s="25"/>
      <c r="F146" s="25"/>
      <c r="G146" s="24"/>
      <c r="H146" s="25">
        <f>IF(ISBLANK('1-200关设定'!W146),"",'1-200关设定'!W146)</f>
        <v>4</v>
      </c>
      <c r="I146" s="25">
        <f>IF(ISBLANK('1-200关设定'!V146),"",'1-200关设定'!V146)</f>
        <v>5</v>
      </c>
      <c r="J146" t="str">
        <f>IF(G146="","",1-EXP(-G146/参数配置!O150))</f>
        <v/>
      </c>
      <c r="K146">
        <f t="shared" si="4"/>
        <v>0.25</v>
      </c>
      <c r="L146">
        <f t="shared" si="5"/>
        <v>0.96875</v>
      </c>
      <c r="M146" t="str">
        <f>IF(G146="","",(参数配置!O146*K146+参数配置!O147*(J146-(1-EXP(-200/参数配置!O150)))/((1-EXP(-1500/参数配置!O150))-(1-EXP(-200/参数配置!O150)))+参数配置!O148*(L146/(1-2^(-5)))+参数配置!O149*K146*(J146-(1-EXP(-200/参数配置!O150)))/((1-EXP(-1500/参数配置!O150))-(1-EXP(-200/参数配置!O150))))*100)</f>
        <v/>
      </c>
      <c r="N146" t="str">
        <f t="array" ref="N146">IF(G146&gt;0,RLD_Label(G146,H146,I146),"")</f>
        <v/>
      </c>
      <c r="O146">
        <v>6</v>
      </c>
      <c r="P146" s="25" t="str">
        <f>IFERROR(INDEX(参数配置!B:B,MATCH(O146,参数配置!A:A,0)),"")</f>
        <v>先易后难</v>
      </c>
    </row>
    <row r="147" ht="14.25" customHeight="1" spans="1:16">
      <c r="A147" s="26"/>
      <c r="B147" s="24">
        <v>146</v>
      </c>
      <c r="C147" s="24" t="s">
        <v>25</v>
      </c>
      <c r="D147" s="24">
        <v>0.85</v>
      </c>
      <c r="E147" s="25"/>
      <c r="F147" s="25"/>
      <c r="G147" s="24"/>
      <c r="H147" s="25">
        <f>IF(ISBLANK('1-200关设定'!W147),"",'1-200关设定'!W147)</f>
        <v>5</v>
      </c>
      <c r="I147" s="25">
        <f>IF(ISBLANK('1-200关设定'!V147),"",'1-200关设定'!V147)</f>
        <v>3</v>
      </c>
      <c r="J147" t="str">
        <f>IF(G147="","",1-EXP(-G147/参数配置!O151))</f>
        <v/>
      </c>
      <c r="K147">
        <f t="shared" si="4"/>
        <v>0.5625</v>
      </c>
      <c r="L147">
        <f t="shared" si="5"/>
        <v>0.875</v>
      </c>
      <c r="M147" t="str">
        <f>IF(G147="","",(参数配置!O147*K147+参数配置!O148*(J147-(1-EXP(-200/参数配置!O151)))/((1-EXP(-1500/参数配置!O151))-(1-EXP(-200/参数配置!O151)))+参数配置!O149*(L147/(1-2^(-5)))+参数配置!O150*K147*(J147-(1-EXP(-200/参数配置!O151)))/((1-EXP(-1500/参数配置!O151))-(1-EXP(-200/参数配置!O151))))*100)</f>
        <v/>
      </c>
      <c r="N147" t="str">
        <f t="array" ref="N147">IF(G147&gt;0,RLD_Label(G147,H147,I147),"")</f>
        <v/>
      </c>
      <c r="O147">
        <v>4</v>
      </c>
      <c r="P147" s="25" t="str">
        <f>IFERROR(INDEX(参数配置!B:B,MATCH(O147,参数配置!A:A,0)),"")</f>
        <v>双峰值</v>
      </c>
    </row>
    <row r="148" ht="14.25" customHeight="1" spans="1:16">
      <c r="A148" s="26"/>
      <c r="B148" s="24">
        <v>147</v>
      </c>
      <c r="C148" s="24" t="s">
        <v>41</v>
      </c>
      <c r="D148" s="24">
        <v>0.4</v>
      </c>
      <c r="E148" s="25"/>
      <c r="F148" s="25"/>
      <c r="G148" s="24"/>
      <c r="H148" s="25">
        <f>IF(ISBLANK('1-200关设定'!W148),"",'1-200关设定'!W148)</f>
        <v>4</v>
      </c>
      <c r="I148" s="25">
        <f>IF(ISBLANK('1-200关设定'!V148),"",'1-200关设定'!V148)</f>
        <v>5</v>
      </c>
      <c r="J148" t="str">
        <f>IF(G148="","",1-EXP(-G148/参数配置!O152))</f>
        <v/>
      </c>
      <c r="K148">
        <f t="shared" si="4"/>
        <v>0.25</v>
      </c>
      <c r="L148">
        <f t="shared" si="5"/>
        <v>0.96875</v>
      </c>
      <c r="M148" t="str">
        <f>IF(G148="","",(参数配置!O148*K148+参数配置!O149*(J148-(1-EXP(-200/参数配置!O152)))/((1-EXP(-1500/参数配置!O152))-(1-EXP(-200/参数配置!O152)))+参数配置!O150*(L148/(1-2^(-5)))+参数配置!O151*K148*(J148-(1-EXP(-200/参数配置!O152)))/((1-EXP(-1500/参数配置!O152))-(1-EXP(-200/参数配置!O152))))*100)</f>
        <v/>
      </c>
      <c r="N148" t="str">
        <f t="array" ref="N148">IF(G148&gt;0,RLD_Label(G148,H148,I148),"")</f>
        <v/>
      </c>
      <c r="O148">
        <v>6</v>
      </c>
      <c r="P148" s="25" t="str">
        <f>IFERROR(INDEX(参数配置!B:B,MATCH(O148,参数配置!A:A,0)),"")</f>
        <v>先易后难</v>
      </c>
    </row>
    <row r="149" ht="14.25" customHeight="1" spans="1:16">
      <c r="A149" s="26"/>
      <c r="B149" s="24">
        <v>148</v>
      </c>
      <c r="C149" s="24" t="s">
        <v>25</v>
      </c>
      <c r="D149" s="24">
        <v>0.85</v>
      </c>
      <c r="E149" s="25"/>
      <c r="F149" s="25"/>
      <c r="G149" s="24"/>
      <c r="H149" s="25">
        <f>IF(ISBLANK('1-200关设定'!W149),"",'1-200关设定'!W149)</f>
        <v>5</v>
      </c>
      <c r="I149" s="25">
        <f>IF(ISBLANK('1-200关设定'!V149),"",'1-200关设定'!V149)</f>
        <v>2</v>
      </c>
      <c r="J149" t="str">
        <f>IF(G149="","",1-EXP(-G149/参数配置!O153))</f>
        <v/>
      </c>
      <c r="K149">
        <f t="shared" si="4"/>
        <v>0.5625</v>
      </c>
      <c r="L149">
        <f t="shared" si="5"/>
        <v>0.75</v>
      </c>
      <c r="M149" t="str">
        <f>IF(G149="","",(参数配置!O149*K149+参数配置!O150*(J149-(1-EXP(-200/参数配置!O153)))/((1-EXP(-1500/参数配置!O153))-(1-EXP(-200/参数配置!O153)))+参数配置!O151*(L149/(1-2^(-5)))+参数配置!O152*K149*(J149-(1-EXP(-200/参数配置!O153)))/((1-EXP(-1500/参数配置!O153))-(1-EXP(-200/参数配置!O153))))*100)</f>
        <v/>
      </c>
      <c r="N149" t="str">
        <f t="array" ref="N149">IF(G149&gt;0,RLD_Label(G149,H149,I149),"")</f>
        <v/>
      </c>
      <c r="O149">
        <v>5</v>
      </c>
      <c r="P149" s="25" t="str">
        <f>IFERROR(INDEX(参数配置!B:B,MATCH(O149,参数配置!A:A,0)),"")</f>
        <v>起死回生</v>
      </c>
    </row>
    <row r="150" ht="14.25" customHeight="1" spans="1:16">
      <c r="A150" s="26"/>
      <c r="B150" s="24">
        <v>149</v>
      </c>
      <c r="C150" s="24" t="s">
        <v>25</v>
      </c>
      <c r="D150" s="24">
        <v>0.85</v>
      </c>
      <c r="E150" s="25"/>
      <c r="F150" s="25"/>
      <c r="G150" s="24"/>
      <c r="H150" s="25">
        <f>IF(ISBLANK('1-200关设定'!W150),"",'1-200关设定'!W150)</f>
        <v>4</v>
      </c>
      <c r="I150" s="25">
        <f>IF(ISBLANK('1-200关设定'!V150),"",'1-200关设定'!V150)</f>
        <v>4</v>
      </c>
      <c r="J150" t="str">
        <f>IF(G150="","",1-EXP(-G150/参数配置!O154))</f>
        <v/>
      </c>
      <c r="K150">
        <f t="shared" si="4"/>
        <v>0.25</v>
      </c>
      <c r="L150">
        <f t="shared" si="5"/>
        <v>0.9375</v>
      </c>
      <c r="M150" t="str">
        <f>IF(G150="","",(参数配置!O150*K150+参数配置!O151*(J150-(1-EXP(-200/参数配置!O154)))/((1-EXP(-1500/参数配置!O154))-(1-EXP(-200/参数配置!O154)))+参数配置!O152*(L150/(1-2^(-5)))+参数配置!O153*K150*(J150-(1-EXP(-200/参数配置!O154)))/((1-EXP(-1500/参数配置!O154))-(1-EXP(-200/参数配置!O154))))*100)</f>
        <v/>
      </c>
      <c r="N150" t="str">
        <f t="array" ref="N150">IF(G150&gt;0,RLD_Label(G150,H150,I150),"")</f>
        <v/>
      </c>
      <c r="O150">
        <v>6</v>
      </c>
      <c r="P150" s="25" t="str">
        <f>IFERROR(INDEX(参数配置!B:B,MATCH(O150,参数配置!A:A,0)),"")</f>
        <v>先易后难</v>
      </c>
    </row>
    <row r="151" ht="14.25" customHeight="1" spans="1:16">
      <c r="A151" s="26"/>
      <c r="B151" s="24">
        <v>150</v>
      </c>
      <c r="C151" s="24" t="s">
        <v>25</v>
      </c>
      <c r="D151" s="24">
        <v>0.85</v>
      </c>
      <c r="E151" s="25"/>
      <c r="F151" s="25"/>
      <c r="G151" s="24"/>
      <c r="H151" s="25">
        <f>IF(ISBLANK('1-200关设定'!W151),"",'1-200关设定'!W151)</f>
        <v>4</v>
      </c>
      <c r="I151" s="25">
        <f>IF(ISBLANK('1-200关设定'!V151),"",'1-200关设定'!V151)</f>
        <v>4</v>
      </c>
      <c r="J151" t="str">
        <f>IF(G151="","",1-EXP(-G151/参数配置!O155))</f>
        <v/>
      </c>
      <c r="K151">
        <f t="shared" si="4"/>
        <v>0.25</v>
      </c>
      <c r="L151">
        <f t="shared" si="5"/>
        <v>0.9375</v>
      </c>
      <c r="M151" t="str">
        <f>IF(G151="","",(参数配置!O151*K151+参数配置!O152*(J151-(1-EXP(-200/参数配置!O155)))/((1-EXP(-1500/参数配置!O155))-(1-EXP(-200/参数配置!O155)))+参数配置!O153*(L151/(1-2^(-5)))+参数配置!O154*K151*(J151-(1-EXP(-200/参数配置!O155)))/((1-EXP(-1500/参数配置!O155))-(1-EXP(-200/参数配置!O155))))*100)</f>
        <v/>
      </c>
      <c r="N151" t="str">
        <f t="array" ref="N151">IF(G151&gt;0,RLD_Label(G151,H151,I151),"")</f>
        <v/>
      </c>
      <c r="O151">
        <v>7</v>
      </c>
      <c r="P151" s="25" t="str">
        <f>IFERROR(INDEX(参数配置!B:B,MATCH(O151,参数配置!A:A,0)),"")</f>
        <v>先难后易</v>
      </c>
    </row>
    <row r="152" ht="14.25" customHeight="1" spans="1:16">
      <c r="A152" s="26"/>
      <c r="B152" s="24">
        <v>151</v>
      </c>
      <c r="C152" s="24" t="s">
        <v>32</v>
      </c>
      <c r="D152" s="24">
        <v>0.6</v>
      </c>
      <c r="E152" s="25"/>
      <c r="F152" s="25"/>
      <c r="G152" s="24"/>
      <c r="H152" s="25">
        <f>IF(ISBLANK('1-200关设定'!W152),"",'1-200关设定'!W152)</f>
        <v>5</v>
      </c>
      <c r="I152" s="25">
        <f>IF(ISBLANK('1-200关设定'!V152),"",'1-200关设定'!V152)</f>
        <v>3</v>
      </c>
      <c r="J152" t="str">
        <f>IF(G152="","",1-EXP(-G152/参数配置!O156))</f>
        <v/>
      </c>
      <c r="K152">
        <f t="shared" si="4"/>
        <v>0.5625</v>
      </c>
      <c r="L152">
        <f t="shared" si="5"/>
        <v>0.875</v>
      </c>
      <c r="M152" t="str">
        <f>IF(G152="","",(参数配置!O152*K152+参数配置!O153*(J152-(1-EXP(-200/参数配置!O156)))/((1-EXP(-1500/参数配置!O156))-(1-EXP(-200/参数配置!O156)))+参数配置!O154*(L152/(1-2^(-5)))+参数配置!O155*K152*(J152-(1-EXP(-200/参数配置!O156)))/((1-EXP(-1500/参数配置!O156))-(1-EXP(-200/参数配置!O156))))*100)</f>
        <v/>
      </c>
      <c r="N152" t="str">
        <f t="array" ref="N152">IF(G152&gt;0,RLD_Label(G152,H152,I152),"")</f>
        <v/>
      </c>
      <c r="O152">
        <v>6</v>
      </c>
      <c r="P152" s="25" t="str">
        <f>IFERROR(INDEX(参数配置!B:B,MATCH(O152,参数配置!A:A,0)),"")</f>
        <v>先易后难</v>
      </c>
    </row>
    <row r="153" ht="14.25" customHeight="1" spans="1:16">
      <c r="A153" s="26"/>
      <c r="B153" s="24">
        <v>152</v>
      </c>
      <c r="C153" s="24" t="s">
        <v>25</v>
      </c>
      <c r="D153" s="24">
        <v>0.85</v>
      </c>
      <c r="E153" s="25"/>
      <c r="F153" s="25"/>
      <c r="G153" s="24"/>
      <c r="H153" s="25">
        <f>IF(ISBLANK('1-200关设定'!W153),"",'1-200关设定'!W153)</f>
        <v>4</v>
      </c>
      <c r="I153" s="25">
        <f>IF(ISBLANK('1-200关设定'!V153),"",'1-200关设定'!V153)</f>
        <v>4</v>
      </c>
      <c r="J153" t="str">
        <f>IF(G153="","",1-EXP(-G153/参数配置!O157))</f>
        <v/>
      </c>
      <c r="K153">
        <f t="shared" si="4"/>
        <v>0.25</v>
      </c>
      <c r="L153">
        <f t="shared" si="5"/>
        <v>0.9375</v>
      </c>
      <c r="M153" t="str">
        <f>IF(G153="","",(参数配置!O153*K153+参数配置!O154*(J153-(1-EXP(-200/参数配置!O157)))/((1-EXP(-1500/参数配置!O157))-(1-EXP(-200/参数配置!O157)))+参数配置!O155*(L153/(1-2^(-5)))+参数配置!O156*K153*(J153-(1-EXP(-200/参数配置!O157)))/((1-EXP(-1500/参数配置!O157))-(1-EXP(-200/参数配置!O157))))*100)</f>
        <v/>
      </c>
      <c r="N153" t="str">
        <f t="array" ref="N153">IF(G153&gt;0,RLD_Label(G153,H153,I153),"")</f>
        <v/>
      </c>
      <c r="O153">
        <v>4</v>
      </c>
      <c r="P153" s="25" t="str">
        <f>IFERROR(INDEX(参数配置!B:B,MATCH(O153,参数配置!A:A,0)),"")</f>
        <v>双峰值</v>
      </c>
    </row>
    <row r="154" ht="14.25" customHeight="1" spans="1:16">
      <c r="A154" s="26"/>
      <c r="B154" s="24">
        <v>153</v>
      </c>
      <c r="C154" s="24" t="s">
        <v>25</v>
      </c>
      <c r="D154" s="24">
        <v>0.85</v>
      </c>
      <c r="E154" s="25"/>
      <c r="F154" s="25"/>
      <c r="G154" s="24"/>
      <c r="H154" s="25">
        <f>IF(ISBLANK('1-200关设定'!W154),"",'1-200关设定'!W154)</f>
        <v>5</v>
      </c>
      <c r="I154" s="25">
        <f>IF(ISBLANK('1-200关设定'!V154),"",'1-200关设定'!V154)</f>
        <v>2</v>
      </c>
      <c r="J154" t="str">
        <f>IF(G154="","",1-EXP(-G154/参数配置!O158))</f>
        <v/>
      </c>
      <c r="K154">
        <f t="shared" si="4"/>
        <v>0.5625</v>
      </c>
      <c r="L154">
        <f t="shared" si="5"/>
        <v>0.75</v>
      </c>
      <c r="M154" t="str">
        <f>IF(G154="","",(参数配置!O154*K154+参数配置!O155*(J154-(1-EXP(-200/参数配置!O158)))/((1-EXP(-1500/参数配置!O158))-(1-EXP(-200/参数配置!O158)))+参数配置!O156*(L154/(1-2^(-5)))+参数配置!O157*K154*(J154-(1-EXP(-200/参数配置!O158)))/((1-EXP(-1500/参数配置!O158))-(1-EXP(-200/参数配置!O158))))*100)</f>
        <v/>
      </c>
      <c r="N154" t="str">
        <f t="array" ref="N154">IF(G154&gt;0,RLD_Label(G154,H154,I154),"")</f>
        <v/>
      </c>
      <c r="O154">
        <v>6</v>
      </c>
      <c r="P154" s="25" t="str">
        <f>IFERROR(INDEX(参数配置!B:B,MATCH(O154,参数配置!A:A,0)),"")</f>
        <v>先易后难</v>
      </c>
    </row>
    <row r="155" ht="14.25" customHeight="1" spans="1:16">
      <c r="A155" s="26"/>
      <c r="B155" s="24">
        <v>154</v>
      </c>
      <c r="C155" s="24" t="s">
        <v>41</v>
      </c>
      <c r="D155" s="24">
        <v>0.4</v>
      </c>
      <c r="E155" s="25"/>
      <c r="F155" s="25"/>
      <c r="G155" s="24"/>
      <c r="H155" s="25">
        <f>IF(ISBLANK('1-200关设定'!W155),"",'1-200关设定'!W155)</f>
        <v>5</v>
      </c>
      <c r="I155" s="25">
        <f>IF(ISBLANK('1-200关设定'!V155),"",'1-200关设定'!V155)</f>
        <v>3</v>
      </c>
      <c r="J155" t="str">
        <f>IF(G155="","",1-EXP(-G155/参数配置!O159))</f>
        <v/>
      </c>
      <c r="K155">
        <f t="shared" si="4"/>
        <v>0.5625</v>
      </c>
      <c r="L155">
        <f t="shared" si="5"/>
        <v>0.875</v>
      </c>
      <c r="M155" t="str">
        <f>IF(G155="","",(参数配置!O155*K155+参数配置!O156*(J155-(1-EXP(-200/参数配置!O159)))/((1-EXP(-1500/参数配置!O159))-(1-EXP(-200/参数配置!O159)))+参数配置!O157*(L155/(1-2^(-5)))+参数配置!O158*K155*(J155-(1-EXP(-200/参数配置!O159)))/((1-EXP(-1500/参数配置!O159))-(1-EXP(-200/参数配置!O159))))*100)</f>
        <v/>
      </c>
      <c r="N155" t="str">
        <f t="array" ref="N155">IF(G155&gt;0,RLD_Label(G155,H155,I155),"")</f>
        <v/>
      </c>
      <c r="O155">
        <v>5</v>
      </c>
      <c r="P155" s="25" t="str">
        <f>IFERROR(INDEX(参数配置!B:B,MATCH(O155,参数配置!A:A,0)),"")</f>
        <v>起死回生</v>
      </c>
    </row>
    <row r="156" ht="14.25" customHeight="1" spans="1:16">
      <c r="A156" s="26"/>
      <c r="B156" s="24">
        <v>155</v>
      </c>
      <c r="C156" s="24" t="s">
        <v>25</v>
      </c>
      <c r="D156" s="24">
        <v>0.85</v>
      </c>
      <c r="E156" s="25"/>
      <c r="F156" s="25"/>
      <c r="G156" s="24"/>
      <c r="H156" s="25">
        <f>IF(ISBLANK('1-200关设定'!W156),"",'1-200关设定'!W156)</f>
        <v>4</v>
      </c>
      <c r="I156" s="25">
        <f>IF(ISBLANK('1-200关设定'!V156),"",'1-200关设定'!V156)</f>
        <v>2</v>
      </c>
      <c r="J156" t="str">
        <f>IF(G156="","",1-EXP(-G156/参数配置!O160))</f>
        <v/>
      </c>
      <c r="K156">
        <f t="shared" si="4"/>
        <v>0.25</v>
      </c>
      <c r="L156">
        <f t="shared" si="5"/>
        <v>0.75</v>
      </c>
      <c r="M156" t="str">
        <f>IF(G156="","",(参数配置!O156*K156+参数配置!O157*(J156-(1-EXP(-200/参数配置!O160)))/((1-EXP(-1500/参数配置!O160))-(1-EXP(-200/参数配置!O160)))+参数配置!O158*(L156/(1-2^(-5)))+参数配置!O159*K156*(J156-(1-EXP(-200/参数配置!O160)))/((1-EXP(-1500/参数配置!O160))-(1-EXP(-200/参数配置!O160))))*100)</f>
        <v/>
      </c>
      <c r="N156" t="str">
        <f t="array" ref="N156">IF(G156&gt;0,RLD_Label(G156,H156,I156),"")</f>
        <v/>
      </c>
      <c r="O156">
        <v>6</v>
      </c>
      <c r="P156" s="25" t="str">
        <f>IFERROR(INDEX(参数配置!B:B,MATCH(O156,参数配置!A:A,0)),"")</f>
        <v>先易后难</v>
      </c>
    </row>
    <row r="157" ht="14.25" customHeight="1" spans="1:16">
      <c r="A157" s="26"/>
      <c r="B157" s="24">
        <v>156</v>
      </c>
      <c r="C157" s="24" t="s">
        <v>25</v>
      </c>
      <c r="D157" s="24">
        <v>0.85</v>
      </c>
      <c r="E157" s="25"/>
      <c r="F157" s="25"/>
      <c r="G157" s="24"/>
      <c r="H157" s="25">
        <f>IF(ISBLANK('1-200关设定'!W157),"",'1-200关设定'!W157)</f>
        <v>4</v>
      </c>
      <c r="I157" s="25">
        <f>IF(ISBLANK('1-200关设定'!V157),"",'1-200关设定'!V157)</f>
        <v>3</v>
      </c>
      <c r="J157" t="str">
        <f>IF(G157="","",1-EXP(-G157/参数配置!O161))</f>
        <v/>
      </c>
      <c r="K157">
        <f t="shared" si="4"/>
        <v>0.25</v>
      </c>
      <c r="L157">
        <f t="shared" si="5"/>
        <v>0.875</v>
      </c>
      <c r="M157" t="str">
        <f>IF(G157="","",(参数配置!O157*K157+参数配置!O158*(J157-(1-EXP(-200/参数配置!O161)))/((1-EXP(-1500/参数配置!O161))-(1-EXP(-200/参数配置!O161)))+参数配置!O159*(L157/(1-2^(-5)))+参数配置!O160*K157*(J157-(1-EXP(-200/参数配置!O161)))/((1-EXP(-1500/参数配置!O161))-(1-EXP(-200/参数配置!O161))))*100)</f>
        <v/>
      </c>
      <c r="N157" t="str">
        <f t="array" ref="N157">IF(G157&gt;0,RLD_Label(G157,H157,I157),"")</f>
        <v/>
      </c>
      <c r="O157">
        <v>7</v>
      </c>
      <c r="P157" s="25" t="str">
        <f>IFERROR(INDEX(参数配置!B:B,MATCH(O157,参数配置!A:A,0)),"")</f>
        <v>先难后易</v>
      </c>
    </row>
    <row r="158" ht="14.25" customHeight="1" spans="1:16">
      <c r="A158" s="26"/>
      <c r="B158" s="24">
        <v>157</v>
      </c>
      <c r="C158" s="24" t="s">
        <v>25</v>
      </c>
      <c r="D158" s="24">
        <v>0.85</v>
      </c>
      <c r="E158" s="25"/>
      <c r="F158" s="25"/>
      <c r="G158" s="24"/>
      <c r="H158" s="25">
        <f>IF(ISBLANK('1-200关设定'!W158),"",'1-200关设定'!W158)</f>
        <v>4</v>
      </c>
      <c r="I158" s="25">
        <f>IF(ISBLANK('1-200关设定'!V158),"",'1-200关设定'!V158)</f>
        <v>4</v>
      </c>
      <c r="J158" t="str">
        <f>IF(G158="","",1-EXP(-G158/参数配置!O162))</f>
        <v/>
      </c>
      <c r="K158">
        <f t="shared" si="4"/>
        <v>0.25</v>
      </c>
      <c r="L158">
        <f t="shared" si="5"/>
        <v>0.9375</v>
      </c>
      <c r="M158" t="str">
        <f>IF(G158="","",(参数配置!O158*K158+参数配置!O159*(J158-(1-EXP(-200/参数配置!O162)))/((1-EXP(-1500/参数配置!O162))-(1-EXP(-200/参数配置!O162)))+参数配置!O160*(L158/(1-2^(-5)))+参数配置!O161*K158*(J158-(1-EXP(-200/参数配置!O162)))/((1-EXP(-1500/参数配置!O162))-(1-EXP(-200/参数配置!O162))))*100)</f>
        <v/>
      </c>
      <c r="N158" t="str">
        <f t="array" ref="N158">IF(G158&gt;0,RLD_Label(G158,H158,I158),"")</f>
        <v/>
      </c>
      <c r="O158">
        <v>6</v>
      </c>
      <c r="P158" s="25" t="str">
        <f>IFERROR(INDEX(参数配置!B:B,MATCH(O158,参数配置!A:A,0)),"")</f>
        <v>先易后难</v>
      </c>
    </row>
    <row r="159" ht="14.25" customHeight="1" spans="1:16">
      <c r="A159" s="26"/>
      <c r="B159" s="24">
        <v>158</v>
      </c>
      <c r="C159" s="24" t="s">
        <v>25</v>
      </c>
      <c r="D159" s="24">
        <v>0.85</v>
      </c>
      <c r="E159" s="25"/>
      <c r="F159" s="25"/>
      <c r="G159" s="24"/>
      <c r="H159" s="25">
        <f>IF(ISBLANK('1-200关设定'!W159),"",'1-200关设定'!W159)</f>
        <v>4</v>
      </c>
      <c r="I159" s="25">
        <f>IF(ISBLANK('1-200关设定'!V159),"",'1-200关设定'!V159)</f>
        <v>3</v>
      </c>
      <c r="J159" t="str">
        <f>IF(G159="","",1-EXP(-G159/参数配置!O163))</f>
        <v/>
      </c>
      <c r="K159">
        <f t="shared" si="4"/>
        <v>0.25</v>
      </c>
      <c r="L159">
        <f t="shared" si="5"/>
        <v>0.875</v>
      </c>
      <c r="M159" t="str">
        <f>IF(G159="","",(参数配置!O159*K159+参数配置!O160*(J159-(1-EXP(-200/参数配置!O163)))/((1-EXP(-1500/参数配置!O163))-(1-EXP(-200/参数配置!O163)))+参数配置!O161*(L159/(1-2^(-5)))+参数配置!O162*K159*(J159-(1-EXP(-200/参数配置!O163)))/((1-EXP(-1500/参数配置!O163))-(1-EXP(-200/参数配置!O163))))*100)</f>
        <v/>
      </c>
      <c r="N159" t="str">
        <f t="array" ref="N159">IF(G159&gt;0,RLD_Label(G159,H159,I159),"")</f>
        <v/>
      </c>
      <c r="O159">
        <v>4</v>
      </c>
      <c r="P159" s="25" t="str">
        <f>IFERROR(INDEX(参数配置!B:B,MATCH(O159,参数配置!A:A,0)),"")</f>
        <v>双峰值</v>
      </c>
    </row>
    <row r="160" ht="14.25" customHeight="1" spans="1:16">
      <c r="A160" s="26"/>
      <c r="B160" s="24">
        <v>159</v>
      </c>
      <c r="C160" s="24" t="s">
        <v>32</v>
      </c>
      <c r="D160" s="24">
        <v>0.6</v>
      </c>
      <c r="E160" s="25"/>
      <c r="F160" s="25"/>
      <c r="G160" s="24"/>
      <c r="H160" s="25">
        <f>IF(ISBLANK('1-200关设定'!W160),"",'1-200关设定'!W160)</f>
        <v>5</v>
      </c>
      <c r="I160" s="25">
        <f>IF(ISBLANK('1-200关设定'!V160),"",'1-200关设定'!V160)</f>
        <v>4</v>
      </c>
      <c r="J160" t="str">
        <f>IF(G160="","",1-EXP(-G160/参数配置!O164))</f>
        <v/>
      </c>
      <c r="K160">
        <f t="shared" si="4"/>
        <v>0.5625</v>
      </c>
      <c r="L160">
        <f t="shared" si="5"/>
        <v>0.9375</v>
      </c>
      <c r="M160" t="str">
        <f>IF(G160="","",(参数配置!O160*K160+参数配置!O161*(J160-(1-EXP(-200/参数配置!O164)))/((1-EXP(-1500/参数配置!O164))-(1-EXP(-200/参数配置!O164)))+参数配置!O162*(L160/(1-2^(-5)))+参数配置!O163*K160*(J160-(1-EXP(-200/参数配置!O164)))/((1-EXP(-1500/参数配置!O164))-(1-EXP(-200/参数配置!O164))))*100)</f>
        <v/>
      </c>
      <c r="N160" t="str">
        <f t="array" ref="N160">IF(G160&gt;0,RLD_Label(G160,H160,I160),"")</f>
        <v/>
      </c>
      <c r="O160">
        <v>6</v>
      </c>
      <c r="P160" s="25" t="str">
        <f>IFERROR(INDEX(参数配置!B:B,MATCH(O160,参数配置!A:A,0)),"")</f>
        <v>先易后难</v>
      </c>
    </row>
    <row r="161" ht="14.25" customHeight="1" spans="1:16">
      <c r="A161" s="26"/>
      <c r="B161" s="24">
        <v>160</v>
      </c>
      <c r="C161" s="24" t="s">
        <v>25</v>
      </c>
      <c r="D161" s="24">
        <v>0.85</v>
      </c>
      <c r="E161" s="25"/>
      <c r="F161" s="25"/>
      <c r="G161" s="24"/>
      <c r="H161" s="25">
        <f>IF(ISBLANK('1-200关设定'!W161),"",'1-200关设定'!W161)</f>
        <v>5</v>
      </c>
      <c r="I161" s="25">
        <f>IF(ISBLANK('1-200关设定'!V161),"",'1-200关设定'!V161)</f>
        <v>1</v>
      </c>
      <c r="J161" t="str">
        <f>IF(G161="","",1-EXP(-G161/参数配置!O165))</f>
        <v/>
      </c>
      <c r="K161">
        <f t="shared" si="4"/>
        <v>0.5625</v>
      </c>
      <c r="L161">
        <f t="shared" si="5"/>
        <v>0.5</v>
      </c>
      <c r="M161" t="str">
        <f>IF(G161="","",(参数配置!O161*K161+参数配置!O162*(J161-(1-EXP(-200/参数配置!O165)))/((1-EXP(-1500/参数配置!O165))-(1-EXP(-200/参数配置!O165)))+参数配置!O163*(L161/(1-2^(-5)))+参数配置!O164*K161*(J161-(1-EXP(-200/参数配置!O165)))/((1-EXP(-1500/参数配置!O165))-(1-EXP(-200/参数配置!O165))))*100)</f>
        <v/>
      </c>
      <c r="N161" t="str">
        <f t="array" ref="N161">IF(G161&gt;0,RLD_Label(G161,H161,I161),"")</f>
        <v/>
      </c>
      <c r="O161">
        <v>5</v>
      </c>
      <c r="P161" s="25" t="str">
        <f>IFERROR(INDEX(参数配置!B:B,MATCH(O161,参数配置!A:A,0)),"")</f>
        <v>起死回生</v>
      </c>
    </row>
    <row r="162" ht="14.25" customHeight="1" spans="1:16">
      <c r="A162" s="26"/>
      <c r="B162" s="24">
        <v>161</v>
      </c>
      <c r="C162" s="24" t="s">
        <v>41</v>
      </c>
      <c r="D162" s="24">
        <v>0.4</v>
      </c>
      <c r="E162" s="25"/>
      <c r="F162" s="25"/>
      <c r="G162" s="24"/>
      <c r="H162" s="25">
        <f>IF(ISBLANK('1-200关设定'!W162),"",'1-200关设定'!W162)</f>
        <v>4</v>
      </c>
      <c r="I162" s="25">
        <f>IF(ISBLANK('1-200关设定'!V162),"",'1-200关设定'!V162)</f>
        <v>5</v>
      </c>
      <c r="J162" t="str">
        <f>IF(G162="","",1-EXP(-G162/参数配置!O166))</f>
        <v/>
      </c>
      <c r="K162">
        <f t="shared" si="4"/>
        <v>0.25</v>
      </c>
      <c r="L162">
        <f t="shared" si="5"/>
        <v>0.96875</v>
      </c>
      <c r="M162" t="str">
        <f>IF(G162="","",(参数配置!O162*K162+参数配置!O163*(J162-(1-EXP(-200/参数配置!O166)))/((1-EXP(-1500/参数配置!O166))-(1-EXP(-200/参数配置!O166)))+参数配置!O164*(L162/(1-2^(-5)))+参数配置!O165*K162*(J162-(1-EXP(-200/参数配置!O166)))/((1-EXP(-1500/参数配置!O166))-(1-EXP(-200/参数配置!O166))))*100)</f>
        <v/>
      </c>
      <c r="N162" t="str">
        <f t="array" ref="N162">IF(G162&gt;0,RLD_Label(G162,H162,I162),"")</f>
        <v/>
      </c>
      <c r="O162">
        <v>3</v>
      </c>
      <c r="P162" s="25" t="str">
        <f>IFERROR(INDEX(参数配置!B:B,MATCH(O162,参数配置!A:A,0)),"")</f>
        <v>阶梯上升</v>
      </c>
    </row>
    <row r="163" ht="14.25" customHeight="1" spans="1:16">
      <c r="A163" s="26"/>
      <c r="B163" s="24">
        <v>162</v>
      </c>
      <c r="C163" s="24" t="s">
        <v>32</v>
      </c>
      <c r="D163" s="24">
        <v>0.6</v>
      </c>
      <c r="E163" s="25"/>
      <c r="F163" s="25"/>
      <c r="G163" s="24"/>
      <c r="H163" s="25">
        <f>IF(ISBLANK('1-200关设定'!W163),"",'1-200关设定'!W163)</f>
        <v>5</v>
      </c>
      <c r="I163" s="25">
        <f>IF(ISBLANK('1-200关设定'!V163),"",'1-200关设定'!V163)</f>
        <v>3</v>
      </c>
      <c r="J163" t="str">
        <f>IF(G163="","",1-EXP(-G163/参数配置!O167))</f>
        <v/>
      </c>
      <c r="K163">
        <f t="shared" si="4"/>
        <v>0.5625</v>
      </c>
      <c r="L163">
        <f t="shared" si="5"/>
        <v>0.875</v>
      </c>
      <c r="M163" t="str">
        <f>IF(G163="","",(参数配置!O163*K163+参数配置!O164*(J163-(1-EXP(-200/参数配置!O167)))/((1-EXP(-1500/参数配置!O167))-(1-EXP(-200/参数配置!O167)))+参数配置!O165*(L163/(1-2^(-5)))+参数配置!O166*K163*(J163-(1-EXP(-200/参数配置!O167)))/((1-EXP(-1500/参数配置!O167))-(1-EXP(-200/参数配置!O167))))*100)</f>
        <v/>
      </c>
      <c r="N163" t="str">
        <f t="array" ref="N163">IF(G163&gt;0,RLD_Label(G163,H163,I163),"")</f>
        <v/>
      </c>
      <c r="O163">
        <v>6</v>
      </c>
      <c r="P163" s="25" t="str">
        <f>IFERROR(INDEX(参数配置!B:B,MATCH(O163,参数配置!A:A,0)),"")</f>
        <v>先易后难</v>
      </c>
    </row>
    <row r="164" ht="14.25" customHeight="1" spans="1:16">
      <c r="A164" s="26"/>
      <c r="B164" s="24">
        <v>163</v>
      </c>
      <c r="C164" s="24" t="s">
        <v>25</v>
      </c>
      <c r="D164" s="24">
        <v>0.85</v>
      </c>
      <c r="E164" s="25"/>
      <c r="F164" s="25"/>
      <c r="G164" s="24"/>
      <c r="H164" s="25">
        <f>IF(ISBLANK('1-200关设定'!W164),"",'1-200关设定'!W164)</f>
        <v>4</v>
      </c>
      <c r="I164" s="25">
        <f>IF(ISBLANK('1-200关设定'!V164),"",'1-200关设定'!V164)</f>
        <v>4</v>
      </c>
      <c r="J164" t="str">
        <f>IF(G164="","",1-EXP(-G164/参数配置!O168))</f>
        <v/>
      </c>
      <c r="K164">
        <f t="shared" si="4"/>
        <v>0.25</v>
      </c>
      <c r="L164">
        <f t="shared" si="5"/>
        <v>0.9375</v>
      </c>
      <c r="M164" t="str">
        <f>IF(G164="","",(参数配置!O164*K164+参数配置!O165*(J164-(1-EXP(-200/参数配置!O168)))/((1-EXP(-1500/参数配置!O168))-(1-EXP(-200/参数配置!O168)))+参数配置!O166*(L164/(1-2^(-5)))+参数配置!O167*K164*(J164-(1-EXP(-200/参数配置!O168)))/((1-EXP(-1500/参数配置!O168))-(1-EXP(-200/参数配置!O168))))*100)</f>
        <v/>
      </c>
      <c r="N164" t="str">
        <f t="array" ref="N164">IF(G164&gt;0,RLD_Label(G164,H164,I164),"")</f>
        <v/>
      </c>
      <c r="O164">
        <v>3</v>
      </c>
      <c r="P164" s="25" t="str">
        <f>IFERROR(INDEX(参数配置!B:B,MATCH(O164,参数配置!A:A,0)),"")</f>
        <v>阶梯上升</v>
      </c>
    </row>
    <row r="165" ht="14.25" customHeight="1" spans="1:16">
      <c r="A165" s="26"/>
      <c r="B165" s="24">
        <v>164</v>
      </c>
      <c r="C165" s="24" t="s">
        <v>25</v>
      </c>
      <c r="D165" s="24">
        <v>0.85</v>
      </c>
      <c r="E165" s="25"/>
      <c r="F165" s="25"/>
      <c r="G165" s="24"/>
      <c r="H165" s="25">
        <f>IF(ISBLANK('1-200关设定'!W165),"",'1-200关设定'!W165)</f>
        <v>4</v>
      </c>
      <c r="I165" s="25">
        <f>IF(ISBLANK('1-200关设定'!V165),"",'1-200关设定'!V165)</f>
        <v>4</v>
      </c>
      <c r="J165" t="str">
        <f>IF(G165="","",1-EXP(-G165/参数配置!O169))</f>
        <v/>
      </c>
      <c r="K165">
        <f t="shared" si="4"/>
        <v>0.25</v>
      </c>
      <c r="L165">
        <f t="shared" si="5"/>
        <v>0.9375</v>
      </c>
      <c r="M165" t="str">
        <f>IF(G165="","",(参数配置!O165*K165+参数配置!O166*(J165-(1-EXP(-200/参数配置!O169)))/((1-EXP(-1500/参数配置!O169))-(1-EXP(-200/参数配置!O169)))+参数配置!O167*(L165/(1-2^(-5)))+参数配置!O168*K165*(J165-(1-EXP(-200/参数配置!O169)))/((1-EXP(-1500/参数配置!O169))-(1-EXP(-200/参数配置!O169))))*100)</f>
        <v/>
      </c>
      <c r="N165" t="str">
        <f t="array" ref="N165">IF(G165&gt;0,RLD_Label(G165,H165,I165),"")</f>
        <v/>
      </c>
      <c r="O165">
        <v>4</v>
      </c>
      <c r="P165" s="25" t="str">
        <f>IFERROR(INDEX(参数配置!B:B,MATCH(O165,参数配置!A:A,0)),"")</f>
        <v>双峰值</v>
      </c>
    </row>
    <row r="166" ht="14.25" customHeight="1" spans="1:16">
      <c r="A166" s="26"/>
      <c r="B166" s="24">
        <v>165</v>
      </c>
      <c r="C166" s="24" t="s">
        <v>25</v>
      </c>
      <c r="D166" s="24">
        <v>0.85</v>
      </c>
      <c r="E166" s="25"/>
      <c r="F166" s="25"/>
      <c r="G166" s="24"/>
      <c r="H166" s="25">
        <f>IF(ISBLANK('1-200关设定'!W166),"",'1-200关设定'!W166)</f>
        <v>4</v>
      </c>
      <c r="I166" s="25">
        <f>IF(ISBLANK('1-200关设定'!V166),"",'1-200关设定'!V166)</f>
        <v>3</v>
      </c>
      <c r="J166" t="str">
        <f>IF(G166="","",1-EXP(-G166/参数配置!O170))</f>
        <v/>
      </c>
      <c r="K166">
        <f t="shared" si="4"/>
        <v>0.25</v>
      </c>
      <c r="L166">
        <f t="shared" si="5"/>
        <v>0.875</v>
      </c>
      <c r="M166" t="str">
        <f>IF(G166="","",(参数配置!O166*K166+参数配置!O167*(J166-(1-EXP(-200/参数配置!O170)))/((1-EXP(-1500/参数配置!O170))-(1-EXP(-200/参数配置!O170)))+参数配置!O168*(L166/(1-2^(-5)))+参数配置!O169*K166*(J166-(1-EXP(-200/参数配置!O170)))/((1-EXP(-1500/参数配置!O170))-(1-EXP(-200/参数配置!O170))))*100)</f>
        <v/>
      </c>
      <c r="N166" t="str">
        <f t="array" ref="N166">IF(G166&gt;0,RLD_Label(G166,H166,I166),"")</f>
        <v/>
      </c>
      <c r="O166">
        <v>7</v>
      </c>
      <c r="P166" s="25" t="str">
        <f>IFERROR(INDEX(参数配置!B:B,MATCH(O166,参数配置!A:A,0)),"")</f>
        <v>先难后易</v>
      </c>
    </row>
    <row r="167" ht="14.25" customHeight="1" spans="1:16">
      <c r="A167" s="26"/>
      <c r="B167" s="24">
        <v>166</v>
      </c>
      <c r="C167" s="24" t="s">
        <v>32</v>
      </c>
      <c r="D167" s="24">
        <v>0.6</v>
      </c>
      <c r="E167" s="25"/>
      <c r="F167" s="25"/>
      <c r="G167" s="24"/>
      <c r="H167" s="25">
        <f>IF(ISBLANK('1-200关设定'!W167),"",'1-200关设定'!W167)</f>
        <v>4</v>
      </c>
      <c r="I167" s="25">
        <f>IF(ISBLANK('1-200关设定'!V167),"",'1-200关设定'!V167)</f>
        <v>5</v>
      </c>
      <c r="J167" t="str">
        <f>IF(G167="","",1-EXP(-G167/参数配置!O171))</f>
        <v/>
      </c>
      <c r="K167">
        <f t="shared" si="4"/>
        <v>0.25</v>
      </c>
      <c r="L167">
        <f t="shared" si="5"/>
        <v>0.96875</v>
      </c>
      <c r="M167" t="str">
        <f>IF(G167="","",(参数配置!O167*K167+参数配置!O168*(J167-(1-EXP(-200/参数配置!O171)))/((1-EXP(-1500/参数配置!O171))-(1-EXP(-200/参数配置!O171)))+参数配置!O169*(L167/(1-2^(-5)))+参数配置!O170*K167*(J167-(1-EXP(-200/参数配置!O171)))/((1-EXP(-1500/参数配置!O171))-(1-EXP(-200/参数配置!O171))))*100)</f>
        <v/>
      </c>
      <c r="N167" t="str">
        <f t="array" ref="N167">IF(G167&gt;0,RLD_Label(G167,H167,I167),"")</f>
        <v/>
      </c>
      <c r="O167">
        <v>5</v>
      </c>
      <c r="P167" s="25" t="str">
        <f>IFERROR(INDEX(参数配置!B:B,MATCH(O167,参数配置!A:A,0)),"")</f>
        <v>起死回生</v>
      </c>
    </row>
    <row r="168" ht="14.25" customHeight="1" spans="1:16">
      <c r="A168" s="26"/>
      <c r="B168" s="24">
        <v>167</v>
      </c>
      <c r="C168" s="24" t="s">
        <v>25</v>
      </c>
      <c r="D168" s="24">
        <v>0.85</v>
      </c>
      <c r="E168" s="25"/>
      <c r="F168" s="25"/>
      <c r="G168" s="24"/>
      <c r="H168" s="25">
        <f>IF(ISBLANK('1-200关设定'!W168),"",'1-200关设定'!W168)</f>
        <v>4</v>
      </c>
      <c r="I168" s="25">
        <f>IF(ISBLANK('1-200关设定'!V168),"",'1-200关设定'!V168)</f>
        <v>4</v>
      </c>
      <c r="J168" t="str">
        <f>IF(G168="","",1-EXP(-G168/参数配置!O172))</f>
        <v/>
      </c>
      <c r="K168">
        <f t="shared" si="4"/>
        <v>0.25</v>
      </c>
      <c r="L168">
        <f t="shared" si="5"/>
        <v>0.9375</v>
      </c>
      <c r="M168" t="str">
        <f>IF(G168="","",(参数配置!O168*K168+参数配置!O169*(J168-(1-EXP(-200/参数配置!O172)))/((1-EXP(-1500/参数配置!O172))-(1-EXP(-200/参数配置!O172)))+参数配置!O170*(L168/(1-2^(-5)))+参数配置!O171*K168*(J168-(1-EXP(-200/参数配置!O172)))/((1-EXP(-1500/参数配置!O172))-(1-EXP(-200/参数配置!O172))))*100)</f>
        <v/>
      </c>
      <c r="N168" t="str">
        <f t="array" ref="N168">IF(G168&gt;0,RLD_Label(G168,H168,I168),"")</f>
        <v/>
      </c>
      <c r="O168">
        <v>3</v>
      </c>
      <c r="P168" s="25" t="str">
        <f>IFERROR(INDEX(参数配置!B:B,MATCH(O168,参数配置!A:A,0)),"")</f>
        <v>阶梯上升</v>
      </c>
    </row>
    <row r="169" ht="14.25" customHeight="1" spans="1:16">
      <c r="A169" s="26"/>
      <c r="B169" s="24">
        <v>168</v>
      </c>
      <c r="C169" s="24" t="s">
        <v>41</v>
      </c>
      <c r="D169" s="24">
        <v>0.4</v>
      </c>
      <c r="E169" s="25"/>
      <c r="F169" s="25"/>
      <c r="G169" s="24"/>
      <c r="H169" s="25">
        <f>IF(ISBLANK('1-200关设定'!W169),"",'1-200关设定'!W169)</f>
        <v>5</v>
      </c>
      <c r="I169" s="25">
        <f>IF(ISBLANK('1-200关设定'!V169),"",'1-200关设定'!V169)</f>
        <v>4</v>
      </c>
      <c r="J169" t="str">
        <f>IF(G169="","",1-EXP(-G169/参数配置!O173))</f>
        <v/>
      </c>
      <c r="K169">
        <f t="shared" si="4"/>
        <v>0.5625</v>
      </c>
      <c r="L169">
        <f t="shared" si="5"/>
        <v>0.9375</v>
      </c>
      <c r="M169" t="str">
        <f>IF(G169="","",(参数配置!O169*K169+参数配置!O170*(J169-(1-EXP(-200/参数配置!O173)))/((1-EXP(-1500/参数配置!O173))-(1-EXP(-200/参数配置!O173)))+参数配置!O171*(L169/(1-2^(-5)))+参数配置!O172*K169*(J169-(1-EXP(-200/参数配置!O173)))/((1-EXP(-1500/参数配置!O173))-(1-EXP(-200/参数配置!O173))))*100)</f>
        <v/>
      </c>
      <c r="N169" t="str">
        <f t="array" ref="N169">IF(G169&gt;0,RLD_Label(G169,H169,I169),"")</f>
        <v/>
      </c>
      <c r="O169">
        <v>6</v>
      </c>
      <c r="P169" s="25" t="str">
        <f>IFERROR(INDEX(参数配置!B:B,MATCH(O169,参数配置!A:A,0)),"")</f>
        <v>先易后难</v>
      </c>
    </row>
    <row r="170" ht="14.25" customHeight="1" spans="1:16">
      <c r="A170" s="26"/>
      <c r="B170" s="24">
        <v>169</v>
      </c>
      <c r="C170" s="24" t="s">
        <v>25</v>
      </c>
      <c r="D170" s="24">
        <v>0.85</v>
      </c>
      <c r="E170" s="25"/>
      <c r="F170" s="25"/>
      <c r="G170" s="24"/>
      <c r="H170" s="25">
        <f>IF(ISBLANK('1-200关设定'!W170),"",'1-200关设定'!W170)</f>
        <v>4</v>
      </c>
      <c r="I170" s="25">
        <f>IF(ISBLANK('1-200关设定'!V170),"",'1-200关设定'!V170)</f>
        <v>4</v>
      </c>
      <c r="J170" t="str">
        <f>IF(G170="","",1-EXP(-G170/参数配置!O174))</f>
        <v/>
      </c>
      <c r="K170">
        <f t="shared" si="4"/>
        <v>0.25</v>
      </c>
      <c r="L170">
        <f t="shared" si="5"/>
        <v>0.9375</v>
      </c>
      <c r="M170" t="str">
        <f>IF(G170="","",(参数配置!O170*K170+参数配置!O171*(J170-(1-EXP(-200/参数配置!O174)))/((1-EXP(-1500/参数配置!O174))-(1-EXP(-200/参数配置!O174)))+参数配置!O172*(L170/(1-2^(-5)))+参数配置!O173*K170*(J170-(1-EXP(-200/参数配置!O174)))/((1-EXP(-1500/参数配置!O174))-(1-EXP(-200/参数配置!O174))))*100)</f>
        <v/>
      </c>
      <c r="N170" t="str">
        <f t="array" ref="N170">IF(G170&gt;0,RLD_Label(G170,H170,I170),"")</f>
        <v/>
      </c>
      <c r="O170">
        <v>3</v>
      </c>
      <c r="P170" s="25" t="str">
        <f>IFERROR(INDEX(参数配置!B:B,MATCH(O170,参数配置!A:A,0)),"")</f>
        <v>阶梯上升</v>
      </c>
    </row>
    <row r="171" ht="14.25" customHeight="1" spans="1:16">
      <c r="A171" s="26"/>
      <c r="B171" s="24">
        <v>170</v>
      </c>
      <c r="C171" s="24" t="s">
        <v>25</v>
      </c>
      <c r="D171" s="24">
        <v>0.85</v>
      </c>
      <c r="E171" s="25"/>
      <c r="F171" s="25"/>
      <c r="G171" s="24"/>
      <c r="H171" s="25">
        <f>IF(ISBLANK('1-200关设定'!W171),"",'1-200关设定'!W171)</f>
        <v>4</v>
      </c>
      <c r="I171" s="25">
        <f>IF(ISBLANK('1-200关设定'!V171),"",'1-200关设定'!V171)</f>
        <v>3</v>
      </c>
      <c r="J171" t="str">
        <f>IF(G171="","",1-EXP(-G171/参数配置!O175))</f>
        <v/>
      </c>
      <c r="K171">
        <f t="shared" si="4"/>
        <v>0.25</v>
      </c>
      <c r="L171">
        <f t="shared" si="5"/>
        <v>0.875</v>
      </c>
      <c r="M171" t="str">
        <f>IF(G171="","",(参数配置!O171*K171+参数配置!O172*(J171-(1-EXP(-200/参数配置!O175)))/((1-EXP(-1500/参数配置!O175))-(1-EXP(-200/参数配置!O175)))+参数配置!O173*(L171/(1-2^(-5)))+参数配置!O174*K171*(J171-(1-EXP(-200/参数配置!O175)))/((1-EXP(-1500/参数配置!O175))-(1-EXP(-200/参数配置!O175))))*100)</f>
        <v/>
      </c>
      <c r="N171" t="str">
        <f t="array" ref="N171">IF(G171&gt;0,RLD_Label(G171,H171,I171),"")</f>
        <v/>
      </c>
      <c r="O171">
        <v>4</v>
      </c>
      <c r="P171" s="25" t="str">
        <f>IFERROR(INDEX(参数配置!B:B,MATCH(O171,参数配置!A:A,0)),"")</f>
        <v>双峰值</v>
      </c>
    </row>
    <row r="172" ht="14.25" customHeight="1" spans="1:16">
      <c r="A172" s="26"/>
      <c r="B172" s="24">
        <v>171</v>
      </c>
      <c r="C172" s="24" t="s">
        <v>25</v>
      </c>
      <c r="D172" s="24">
        <v>0.85</v>
      </c>
      <c r="E172" s="25"/>
      <c r="F172" s="25"/>
      <c r="G172" s="24"/>
      <c r="H172" s="25">
        <f>IF(ISBLANK('1-200关设定'!W172),"",'1-200关设定'!W172)</f>
        <v>4</v>
      </c>
      <c r="I172" s="25">
        <f>IF(ISBLANK('1-200关设定'!V172),"",'1-200关设定'!V172)</f>
        <v>3</v>
      </c>
      <c r="J172" t="str">
        <f>IF(G172="","",1-EXP(-G172/参数配置!O176))</f>
        <v/>
      </c>
      <c r="K172">
        <f t="shared" si="4"/>
        <v>0.25</v>
      </c>
      <c r="L172">
        <f t="shared" si="5"/>
        <v>0.875</v>
      </c>
      <c r="M172" t="str">
        <f>IF(G172="","",(参数配置!O172*K172+参数配置!O173*(J172-(1-EXP(-200/参数配置!O176)))/((1-EXP(-1500/参数配置!O176))-(1-EXP(-200/参数配置!O176)))+参数配置!O174*(L172/(1-2^(-5)))+参数配置!O175*K172*(J172-(1-EXP(-200/参数配置!O176)))/((1-EXP(-1500/参数配置!O176))-(1-EXP(-200/参数配置!O176))))*100)</f>
        <v/>
      </c>
      <c r="N172" t="str">
        <f t="array" ref="N172">IF(G172&gt;0,RLD_Label(G172,H172,I172),"")</f>
        <v/>
      </c>
      <c r="O172">
        <v>6</v>
      </c>
      <c r="P172" s="25" t="str">
        <f>IFERROR(INDEX(参数配置!B:B,MATCH(O172,参数配置!A:A,0)),"")</f>
        <v>先易后难</v>
      </c>
    </row>
    <row r="173" ht="14.25" customHeight="1" spans="1:16">
      <c r="A173" s="26"/>
      <c r="B173" s="24">
        <v>172</v>
      </c>
      <c r="C173" s="24" t="s">
        <v>25</v>
      </c>
      <c r="D173" s="24">
        <v>0.85</v>
      </c>
      <c r="E173" s="25"/>
      <c r="F173" s="25"/>
      <c r="G173" s="24"/>
      <c r="H173" s="25">
        <f>IF(ISBLANK('1-200关设定'!W173),"",'1-200关设定'!W173)</f>
        <v>4</v>
      </c>
      <c r="I173" s="25">
        <f>IF(ISBLANK('1-200关设定'!V173),"",'1-200关设定'!V173)</f>
        <v>5</v>
      </c>
      <c r="J173" t="str">
        <f>IF(G173="","",1-EXP(-G173/参数配置!O177))</f>
        <v/>
      </c>
      <c r="K173">
        <f t="shared" si="4"/>
        <v>0.25</v>
      </c>
      <c r="L173">
        <f t="shared" si="5"/>
        <v>0.96875</v>
      </c>
      <c r="M173" t="str">
        <f>IF(G173="","",(参数配置!O173*K173+参数配置!O174*(J173-(1-EXP(-200/参数配置!O177)))/((1-EXP(-1500/参数配置!O177))-(1-EXP(-200/参数配置!O177)))+参数配置!O175*(L173/(1-2^(-5)))+参数配置!O176*K173*(J173-(1-EXP(-200/参数配置!O177)))/((1-EXP(-1500/参数配置!O177))-(1-EXP(-200/参数配置!O177))))*100)</f>
        <v/>
      </c>
      <c r="N173" t="str">
        <f t="array" ref="N173">IF(G173&gt;0,RLD_Label(G173,H173,I173),"")</f>
        <v/>
      </c>
      <c r="O173">
        <v>5</v>
      </c>
      <c r="P173" s="25" t="str">
        <f>IFERROR(INDEX(参数配置!B:B,MATCH(O173,参数配置!A:A,0)),"")</f>
        <v>起死回生</v>
      </c>
    </row>
    <row r="174" ht="14.25" customHeight="1" spans="1:16">
      <c r="A174" s="26"/>
      <c r="B174" s="24">
        <v>173</v>
      </c>
      <c r="C174" s="24" t="s">
        <v>32</v>
      </c>
      <c r="D174" s="24">
        <v>0.6</v>
      </c>
      <c r="E174" s="25"/>
      <c r="F174" s="25"/>
      <c r="G174" s="24"/>
      <c r="H174" s="25">
        <f>IF(ISBLANK('1-200关设定'!W174),"",'1-200关设定'!W174)</f>
        <v>5</v>
      </c>
      <c r="I174" s="25">
        <f>IF(ISBLANK('1-200关设定'!V174),"",'1-200关设定'!V174)</f>
        <v>2</v>
      </c>
      <c r="J174" t="str">
        <f>IF(G174="","",1-EXP(-G174/参数配置!O178))</f>
        <v/>
      </c>
      <c r="K174">
        <f t="shared" si="4"/>
        <v>0.5625</v>
      </c>
      <c r="L174">
        <f t="shared" si="5"/>
        <v>0.75</v>
      </c>
      <c r="M174" t="str">
        <f>IF(G174="","",(参数配置!O174*K174+参数配置!O175*(J174-(1-EXP(-200/参数配置!O178)))/((1-EXP(-1500/参数配置!O178))-(1-EXP(-200/参数配置!O178)))+参数配置!O176*(L174/(1-2^(-5)))+参数配置!O177*K174*(J174-(1-EXP(-200/参数配置!O178)))/((1-EXP(-1500/参数配置!O178))-(1-EXP(-200/参数配置!O178))))*100)</f>
        <v/>
      </c>
      <c r="N174" t="str">
        <f t="array" ref="N174">IF(G174&gt;0,RLD_Label(G174,H174,I174),"")</f>
        <v/>
      </c>
      <c r="O174">
        <v>3</v>
      </c>
      <c r="P174" s="25" t="str">
        <f>IFERROR(INDEX(参数配置!B:B,MATCH(O174,参数配置!A:A,0)),"")</f>
        <v>阶梯上升</v>
      </c>
    </row>
    <row r="175" ht="14.25" customHeight="1" spans="1:16">
      <c r="A175" s="26"/>
      <c r="B175" s="24">
        <v>174</v>
      </c>
      <c r="C175" s="24" t="s">
        <v>32</v>
      </c>
      <c r="D175" s="24">
        <v>0.6</v>
      </c>
      <c r="E175" s="25"/>
      <c r="F175" s="25"/>
      <c r="G175" s="24"/>
      <c r="H175" s="25">
        <f>IF(ISBLANK('1-200关设定'!W175),"",'1-200关设定'!W175)</f>
        <v>5</v>
      </c>
      <c r="I175" s="25">
        <f>IF(ISBLANK('1-200关设定'!V175),"",'1-200关设定'!V175)</f>
        <v>4</v>
      </c>
      <c r="J175" t="str">
        <f>IF(G175="","",1-EXP(-G175/参数配置!O179))</f>
        <v/>
      </c>
      <c r="K175">
        <f t="shared" si="4"/>
        <v>0.5625</v>
      </c>
      <c r="L175">
        <f t="shared" si="5"/>
        <v>0.9375</v>
      </c>
      <c r="M175" t="str">
        <f>IF(G175="","",(参数配置!O175*K175+参数配置!O176*(J175-(1-EXP(-200/参数配置!O179)))/((1-EXP(-1500/参数配置!O179))-(1-EXP(-200/参数配置!O179)))+参数配置!O177*(L175/(1-2^(-5)))+参数配置!O178*K175*(J175-(1-EXP(-200/参数配置!O179)))/((1-EXP(-1500/参数配置!O179))-(1-EXP(-200/参数配置!O179))))*100)</f>
        <v/>
      </c>
      <c r="N175" t="str">
        <f t="array" ref="N175">IF(G175&gt;0,RLD_Label(G175,H175,I175),"")</f>
        <v/>
      </c>
      <c r="O175">
        <v>6</v>
      </c>
      <c r="P175" s="25" t="str">
        <f>IFERROR(INDEX(参数配置!B:B,MATCH(O175,参数配置!A:A,0)),"")</f>
        <v>先易后难</v>
      </c>
    </row>
    <row r="176" ht="14.25" customHeight="1" spans="1:16">
      <c r="A176" s="26"/>
      <c r="B176" s="24">
        <v>175</v>
      </c>
      <c r="C176" s="24" t="s">
        <v>25</v>
      </c>
      <c r="D176" s="24">
        <v>0.85</v>
      </c>
      <c r="E176" s="25"/>
      <c r="F176" s="25"/>
      <c r="G176" s="24"/>
      <c r="H176" s="25">
        <f>IF(ISBLANK('1-200关设定'!W176),"",'1-200关设定'!W176)</f>
        <v>4</v>
      </c>
      <c r="I176" s="25">
        <f>IF(ISBLANK('1-200关设定'!V176),"",'1-200关设定'!V176)</f>
        <v>4</v>
      </c>
      <c r="J176" t="str">
        <f>IF(G176="","",1-EXP(-G176/参数配置!O180))</f>
        <v/>
      </c>
      <c r="K176">
        <f t="shared" si="4"/>
        <v>0.25</v>
      </c>
      <c r="L176">
        <f t="shared" si="5"/>
        <v>0.9375</v>
      </c>
      <c r="M176" t="str">
        <f>IF(G176="","",(参数配置!O176*K176+参数配置!O177*(J176-(1-EXP(-200/参数配置!O180)))/((1-EXP(-1500/参数配置!O180))-(1-EXP(-200/参数配置!O180)))+参数配置!O178*(L176/(1-2^(-5)))+参数配置!O179*K176*(J176-(1-EXP(-200/参数配置!O180)))/((1-EXP(-1500/参数配置!O180))-(1-EXP(-200/参数配置!O180))))*100)</f>
        <v/>
      </c>
      <c r="N176" t="str">
        <f t="array" ref="N176">IF(G176&gt;0,RLD_Label(G176,H176,I176),"")</f>
        <v/>
      </c>
      <c r="O176">
        <v>7</v>
      </c>
      <c r="P176" s="25" t="str">
        <f>IFERROR(INDEX(参数配置!B:B,MATCH(O176,参数配置!A:A,0)),"")</f>
        <v>先难后易</v>
      </c>
    </row>
    <row r="177" ht="14.25" customHeight="1" spans="1:16">
      <c r="A177" s="26"/>
      <c r="B177" s="24">
        <v>176</v>
      </c>
      <c r="C177" s="24" t="s">
        <v>25</v>
      </c>
      <c r="D177" s="24">
        <v>0.85</v>
      </c>
      <c r="E177" s="25"/>
      <c r="F177" s="25"/>
      <c r="G177" s="24"/>
      <c r="H177" s="25">
        <f>IF(ISBLANK('1-200关设定'!W177),"",'1-200关设定'!W177)</f>
        <v>4</v>
      </c>
      <c r="I177" s="25">
        <f>IF(ISBLANK('1-200关设定'!V177),"",'1-200关设定'!V177)</f>
        <v>4</v>
      </c>
      <c r="J177" t="str">
        <f>IF(G177="","",1-EXP(-G177/参数配置!O181))</f>
        <v/>
      </c>
      <c r="K177">
        <f t="shared" si="4"/>
        <v>0.25</v>
      </c>
      <c r="L177">
        <f t="shared" si="5"/>
        <v>0.9375</v>
      </c>
      <c r="M177" t="str">
        <f>IF(G177="","",(参数配置!O177*K177+参数配置!O178*(J177-(1-EXP(-200/参数配置!O181)))/((1-EXP(-1500/参数配置!O181))-(1-EXP(-200/参数配置!O181)))+参数配置!O179*(L177/(1-2^(-5)))+参数配置!O180*K177*(J177-(1-EXP(-200/参数配置!O181)))/((1-EXP(-1500/参数配置!O181))-(1-EXP(-200/参数配置!O181))))*100)</f>
        <v/>
      </c>
      <c r="N177" t="str">
        <f t="array" ref="N177">IF(G177&gt;0,RLD_Label(G177,H177,I177),"")</f>
        <v/>
      </c>
      <c r="O177">
        <v>4</v>
      </c>
      <c r="P177" s="25" t="str">
        <f>IFERROR(INDEX(参数配置!B:B,MATCH(O177,参数配置!A:A,0)),"")</f>
        <v>双峰值</v>
      </c>
    </row>
    <row r="178" ht="14.25" customHeight="1" spans="1:16">
      <c r="A178" s="26"/>
      <c r="B178" s="24">
        <v>177</v>
      </c>
      <c r="C178" s="24" t="s">
        <v>25</v>
      </c>
      <c r="D178" s="24">
        <v>0.85</v>
      </c>
      <c r="E178" s="25"/>
      <c r="F178" s="25"/>
      <c r="G178" s="24"/>
      <c r="H178" s="25">
        <f>IF(ISBLANK('1-200关设定'!W178),"",'1-200关设定'!W178)</f>
        <v>4</v>
      </c>
      <c r="I178" s="25">
        <f>IF(ISBLANK('1-200关设定'!V178),"",'1-200关设定'!V178)</f>
        <v>5</v>
      </c>
      <c r="J178" t="str">
        <f>IF(G178="","",1-EXP(-G178/参数配置!O182))</f>
        <v/>
      </c>
      <c r="K178">
        <f t="shared" si="4"/>
        <v>0.25</v>
      </c>
      <c r="L178">
        <f t="shared" si="5"/>
        <v>0.96875</v>
      </c>
      <c r="M178" t="str">
        <f>IF(G178="","",(参数配置!O178*K178+参数配置!O179*(J178-(1-EXP(-200/参数配置!O182)))/((1-EXP(-1500/参数配置!O182))-(1-EXP(-200/参数配置!O182)))+参数配置!O180*(L178/(1-2^(-5)))+参数配置!O181*K178*(J178-(1-EXP(-200/参数配置!O182)))/((1-EXP(-1500/参数配置!O182))-(1-EXP(-200/参数配置!O182))))*100)</f>
        <v/>
      </c>
      <c r="N178" t="str">
        <f t="array" ref="N178">IF(G178&gt;0,RLD_Label(G178,H178,I178),"")</f>
        <v/>
      </c>
      <c r="O178">
        <v>6</v>
      </c>
      <c r="P178" s="25" t="str">
        <f>IFERROR(INDEX(参数配置!B:B,MATCH(O178,参数配置!A:A,0)),"")</f>
        <v>先易后难</v>
      </c>
    </row>
    <row r="179" ht="14.25" customHeight="1" spans="1:16">
      <c r="A179" s="26"/>
      <c r="B179" s="24">
        <v>178</v>
      </c>
      <c r="C179" s="24" t="s">
        <v>41</v>
      </c>
      <c r="D179" s="24">
        <v>0.4</v>
      </c>
      <c r="E179" s="25"/>
      <c r="F179" s="25"/>
      <c r="G179" s="24"/>
      <c r="H179" s="25">
        <f>IF(ISBLANK('1-200关设定'!W179),"",'1-200关设定'!W179)</f>
        <v>4</v>
      </c>
      <c r="I179" s="25">
        <f>IF(ISBLANK('1-200关设定'!V179),"",'1-200关设定'!V179)</f>
        <v>4</v>
      </c>
      <c r="J179" t="str">
        <f>IF(G179="","",1-EXP(-G179/参数配置!O183))</f>
        <v/>
      </c>
      <c r="K179">
        <f t="shared" si="4"/>
        <v>0.25</v>
      </c>
      <c r="L179">
        <f t="shared" si="5"/>
        <v>0.9375</v>
      </c>
      <c r="M179" t="str">
        <f>IF(G179="","",(参数配置!O179*K179+参数配置!O180*(J179-(1-EXP(-200/参数配置!O183)))/((1-EXP(-1500/参数配置!O183))-(1-EXP(-200/参数配置!O183)))+参数配置!O181*(L179/(1-2^(-5)))+参数配置!O182*K179*(J179-(1-EXP(-200/参数配置!O183)))/((1-EXP(-1500/参数配置!O183))-(1-EXP(-200/参数配置!O183))))*100)</f>
        <v/>
      </c>
      <c r="N179" t="str">
        <f t="array" ref="N179">IF(G179&gt;0,RLD_Label(G179,H179,I179),"")</f>
        <v/>
      </c>
      <c r="O179">
        <v>5</v>
      </c>
      <c r="P179" s="25" t="str">
        <f>IFERROR(INDEX(参数配置!B:B,MATCH(O179,参数配置!A:A,0)),"")</f>
        <v>起死回生</v>
      </c>
    </row>
    <row r="180" ht="14.25" customHeight="1" spans="1:16">
      <c r="A180" s="26"/>
      <c r="B180" s="24">
        <v>179</v>
      </c>
      <c r="C180" s="24" t="s">
        <v>25</v>
      </c>
      <c r="D180" s="24">
        <v>0.85</v>
      </c>
      <c r="E180" s="25"/>
      <c r="F180" s="25"/>
      <c r="G180" s="24"/>
      <c r="H180" s="25">
        <f>IF(ISBLANK('1-200关设定'!W180),"",'1-200关设定'!W180)</f>
        <v>4</v>
      </c>
      <c r="I180" s="25">
        <f>IF(ISBLANK('1-200关设定'!V180),"",'1-200关设定'!V180)</f>
        <v>3</v>
      </c>
      <c r="J180" t="str">
        <f>IF(G180="","",1-EXP(-G180/参数配置!O184))</f>
        <v/>
      </c>
      <c r="K180">
        <f t="shared" si="4"/>
        <v>0.25</v>
      </c>
      <c r="L180">
        <f t="shared" si="5"/>
        <v>0.875</v>
      </c>
      <c r="M180" t="str">
        <f>IF(G180="","",(参数配置!O180*K180+参数配置!O181*(J180-(1-EXP(-200/参数配置!O184)))/((1-EXP(-1500/参数配置!O184))-(1-EXP(-200/参数配置!O184)))+参数配置!O182*(L180/(1-2^(-5)))+参数配置!O183*K180*(J180-(1-EXP(-200/参数配置!O184)))/((1-EXP(-1500/参数配置!O184))-(1-EXP(-200/参数配置!O184))))*100)</f>
        <v/>
      </c>
      <c r="N180" t="str">
        <f t="array" ref="N180">IF(G180&gt;0,RLD_Label(G180,H180,I180),"")</f>
        <v/>
      </c>
      <c r="O180">
        <v>3</v>
      </c>
      <c r="P180" s="25" t="str">
        <f>IFERROR(INDEX(参数配置!B:B,MATCH(O180,参数配置!A:A,0)),"")</f>
        <v>阶梯上升</v>
      </c>
    </row>
    <row r="181" ht="14.25" customHeight="1" spans="1:16">
      <c r="A181" s="26"/>
      <c r="B181" s="24">
        <v>180</v>
      </c>
      <c r="C181" s="24" t="s">
        <v>25</v>
      </c>
      <c r="D181" s="24">
        <v>0.85</v>
      </c>
      <c r="E181" s="25"/>
      <c r="F181" s="25"/>
      <c r="G181" s="24"/>
      <c r="H181" s="25">
        <f>IF(ISBLANK('1-200关设定'!W181),"",'1-200关设定'!W181)</f>
        <v>4</v>
      </c>
      <c r="I181" s="25">
        <f>IF(ISBLANK('1-200关设定'!V181),"",'1-200关设定'!V181)</f>
        <v>4</v>
      </c>
      <c r="J181" t="str">
        <f>IF(G181="","",1-EXP(-G181/参数配置!O185))</f>
        <v/>
      </c>
      <c r="K181">
        <f t="shared" si="4"/>
        <v>0.25</v>
      </c>
      <c r="L181">
        <f t="shared" si="5"/>
        <v>0.9375</v>
      </c>
      <c r="M181" t="str">
        <f>IF(G181="","",(参数配置!O181*K181+参数配置!O182*(J181-(1-EXP(-200/参数配置!O185)))/((1-EXP(-1500/参数配置!O185))-(1-EXP(-200/参数配置!O185)))+参数配置!O183*(L181/(1-2^(-5)))+参数配置!O184*K181*(J181-(1-EXP(-200/参数配置!O185)))/((1-EXP(-1500/参数配置!O185))-(1-EXP(-200/参数配置!O185))))*100)</f>
        <v/>
      </c>
      <c r="N181" t="str">
        <f t="array" ref="N181">IF(G181&gt;0,RLD_Label(G181,H181,I181),"")</f>
        <v/>
      </c>
      <c r="O181">
        <v>7</v>
      </c>
      <c r="P181" s="25" t="str">
        <f>IFERROR(INDEX(参数配置!B:B,MATCH(O181,参数配置!A:A,0)),"")</f>
        <v>先难后易</v>
      </c>
    </row>
    <row r="182" ht="14.25" customHeight="1" spans="1:16">
      <c r="A182" s="26"/>
      <c r="B182" s="24">
        <v>181</v>
      </c>
      <c r="C182" s="24" t="s">
        <v>25</v>
      </c>
      <c r="D182" s="24">
        <v>0.85</v>
      </c>
      <c r="E182" s="25"/>
      <c r="F182" s="25"/>
      <c r="G182" s="24"/>
      <c r="H182" s="25">
        <f>IF(ISBLANK('1-200关设定'!W182),"",'1-200关设定'!W182)</f>
        <v>4</v>
      </c>
      <c r="I182" s="25">
        <f>IF(ISBLANK('1-200关设定'!V182),"",'1-200关设定'!V182)</f>
        <v>4</v>
      </c>
      <c r="J182" t="str">
        <f>IF(G182="","",1-EXP(-G182/参数配置!O186))</f>
        <v/>
      </c>
      <c r="K182">
        <f t="shared" si="4"/>
        <v>0.25</v>
      </c>
      <c r="L182">
        <f t="shared" si="5"/>
        <v>0.9375</v>
      </c>
      <c r="M182" t="str">
        <f>IF(G182="","",(参数配置!O182*K182+参数配置!O183*(J182-(1-EXP(-200/参数配置!O186)))/((1-EXP(-1500/参数配置!O186))-(1-EXP(-200/参数配置!O186)))+参数配置!O184*(L182/(1-2^(-5)))+参数配置!O185*K182*(J182-(1-EXP(-200/参数配置!O186)))/((1-EXP(-1500/参数配置!O186))-(1-EXP(-200/参数配置!O186))))*100)</f>
        <v/>
      </c>
      <c r="N182" t="str">
        <f t="array" ref="N182">IF(G182&gt;0,RLD_Label(G182,H182,I182),"")</f>
        <v/>
      </c>
      <c r="O182">
        <v>3</v>
      </c>
      <c r="P182" s="25" t="str">
        <f>IFERROR(INDEX(参数配置!B:B,MATCH(O182,参数配置!A:A,0)),"")</f>
        <v>阶梯上升</v>
      </c>
    </row>
    <row r="183" ht="14.25" customHeight="1" spans="1:16">
      <c r="A183" s="26"/>
      <c r="B183" s="24">
        <v>182</v>
      </c>
      <c r="C183" s="24" t="s">
        <v>25</v>
      </c>
      <c r="D183" s="24">
        <v>0.85</v>
      </c>
      <c r="E183" s="25"/>
      <c r="F183" s="25"/>
      <c r="G183" s="24"/>
      <c r="H183" s="25">
        <f>IF(ISBLANK('1-200关设定'!W183),"",'1-200关设定'!W183)</f>
        <v>4</v>
      </c>
      <c r="I183" s="25">
        <f>IF(ISBLANK('1-200关设定'!V183),"",'1-200关设定'!V183)</f>
        <v>4</v>
      </c>
      <c r="J183" t="str">
        <f>IF(G183="","",1-EXP(-G183/参数配置!O187))</f>
        <v/>
      </c>
      <c r="K183">
        <f t="shared" si="4"/>
        <v>0.25</v>
      </c>
      <c r="L183">
        <f t="shared" si="5"/>
        <v>0.9375</v>
      </c>
      <c r="M183" t="str">
        <f>IF(G183="","",(参数配置!O183*K183+参数配置!O184*(J183-(1-EXP(-200/参数配置!O187)))/((1-EXP(-1500/参数配置!O187))-(1-EXP(-200/参数配置!O187)))+参数配置!O185*(L183/(1-2^(-5)))+参数配置!O186*K183*(J183-(1-EXP(-200/参数配置!O187)))/((1-EXP(-1500/参数配置!O187))-(1-EXP(-200/参数配置!O187))))*100)</f>
        <v/>
      </c>
      <c r="N183" t="str">
        <f t="array" ref="N183">IF(G183&gt;0,RLD_Label(G183,H183,I183),"")</f>
        <v/>
      </c>
      <c r="O183">
        <v>4</v>
      </c>
      <c r="P183" s="25" t="str">
        <f>IFERROR(INDEX(参数配置!B:B,MATCH(O183,参数配置!A:A,0)),"")</f>
        <v>双峰值</v>
      </c>
    </row>
    <row r="184" ht="14.25" customHeight="1" spans="1:16">
      <c r="A184" s="26"/>
      <c r="B184" s="24">
        <v>183</v>
      </c>
      <c r="C184" s="24" t="s">
        <v>32</v>
      </c>
      <c r="D184" s="24">
        <v>0.6</v>
      </c>
      <c r="E184" s="25"/>
      <c r="F184" s="25"/>
      <c r="G184" s="24"/>
      <c r="H184" s="25">
        <f>IF(ISBLANK('1-200关设定'!W184),"",'1-200关设定'!W184)</f>
        <v>5</v>
      </c>
      <c r="I184" s="25">
        <f>IF(ISBLANK('1-200关设定'!V184),"",'1-200关设定'!V184)</f>
        <v>3</v>
      </c>
      <c r="J184" t="str">
        <f>IF(G184="","",1-EXP(-G184/参数配置!O188))</f>
        <v/>
      </c>
      <c r="K184">
        <f t="shared" si="4"/>
        <v>0.5625</v>
      </c>
      <c r="L184">
        <f t="shared" si="5"/>
        <v>0.875</v>
      </c>
      <c r="M184" t="str">
        <f>IF(G184="","",(参数配置!O184*K184+参数配置!O185*(J184-(1-EXP(-200/参数配置!O188)))/((1-EXP(-1500/参数配置!O188))-(1-EXP(-200/参数配置!O188)))+参数配置!O186*(L184/(1-2^(-5)))+参数配置!O187*K184*(J184-(1-EXP(-200/参数配置!O188)))/((1-EXP(-1500/参数配置!O188))-(1-EXP(-200/参数配置!O188))))*100)</f>
        <v/>
      </c>
      <c r="N184" t="str">
        <f t="array" ref="N184">IF(G184&gt;0,RLD_Label(G184,H184,I184),"")</f>
        <v/>
      </c>
      <c r="O184">
        <v>6</v>
      </c>
      <c r="P184" s="25" t="str">
        <f>IFERROR(INDEX(参数配置!B:B,MATCH(O184,参数配置!A:A,0)),"")</f>
        <v>先易后难</v>
      </c>
    </row>
    <row r="185" ht="14.25" customHeight="1" spans="1:16">
      <c r="A185" s="26"/>
      <c r="B185" s="24">
        <v>184</v>
      </c>
      <c r="C185" s="24" t="s">
        <v>25</v>
      </c>
      <c r="D185" s="24">
        <v>0.85</v>
      </c>
      <c r="E185" s="25"/>
      <c r="F185" s="25"/>
      <c r="G185" s="24"/>
      <c r="H185" s="25">
        <f>IF(ISBLANK('1-200关设定'!W185),"",'1-200关设定'!W185)</f>
        <v>4</v>
      </c>
      <c r="I185" s="25">
        <f>IF(ISBLANK('1-200关设定'!V185),"",'1-200关设定'!V185)</f>
        <v>4</v>
      </c>
      <c r="J185" t="str">
        <f>IF(G185="","",1-EXP(-G185/参数配置!O189))</f>
        <v/>
      </c>
      <c r="K185">
        <f t="shared" si="4"/>
        <v>0.25</v>
      </c>
      <c r="L185">
        <f t="shared" si="5"/>
        <v>0.9375</v>
      </c>
      <c r="M185" t="str">
        <f>IF(G185="","",(参数配置!O185*K185+参数配置!O186*(J185-(1-EXP(-200/参数配置!O189)))/((1-EXP(-1500/参数配置!O189))-(1-EXP(-200/参数配置!O189)))+参数配置!O187*(L185/(1-2^(-5)))+参数配置!O188*K185*(J185-(1-EXP(-200/参数配置!O189)))/((1-EXP(-1500/参数配置!O189))-(1-EXP(-200/参数配置!O189))))*100)</f>
        <v/>
      </c>
      <c r="N185" t="str">
        <f t="array" ref="N185">IF(G185&gt;0,RLD_Label(G185,H185,I185),"")</f>
        <v/>
      </c>
      <c r="O185">
        <v>5</v>
      </c>
      <c r="P185" s="25" t="str">
        <f>IFERROR(INDEX(参数配置!B:B,MATCH(O185,参数配置!A:A,0)),"")</f>
        <v>起死回生</v>
      </c>
    </row>
    <row r="186" ht="14.25" customHeight="1" spans="1:16">
      <c r="A186" s="26"/>
      <c r="B186" s="24">
        <v>185</v>
      </c>
      <c r="C186" s="24" t="s">
        <v>25</v>
      </c>
      <c r="D186" s="24">
        <v>0.85</v>
      </c>
      <c r="E186" s="25"/>
      <c r="F186" s="25"/>
      <c r="G186" s="24"/>
      <c r="H186" s="25">
        <f>IF(ISBLANK('1-200关设定'!W186),"",'1-200关设定'!W186)</f>
        <v>4</v>
      </c>
      <c r="I186" s="25">
        <f>IF(ISBLANK('1-200关设定'!V186),"",'1-200关设定'!V186)</f>
        <v>5</v>
      </c>
      <c r="J186" t="str">
        <f>IF(G186="","",1-EXP(-G186/参数配置!O190))</f>
        <v/>
      </c>
      <c r="K186">
        <f t="shared" si="4"/>
        <v>0.25</v>
      </c>
      <c r="L186">
        <f t="shared" si="5"/>
        <v>0.96875</v>
      </c>
      <c r="M186" t="str">
        <f>IF(G186="","",(参数配置!O186*K186+参数配置!O187*(J186-(1-EXP(-200/参数配置!O190)))/((1-EXP(-1500/参数配置!O190))-(1-EXP(-200/参数配置!O190)))+参数配置!O188*(L186/(1-2^(-5)))+参数配置!O189*K186*(J186-(1-EXP(-200/参数配置!O190)))/((1-EXP(-1500/参数配置!O190))-(1-EXP(-200/参数配置!O190))))*100)</f>
        <v/>
      </c>
      <c r="N186" t="str">
        <f t="array" ref="N186">IF(G186&gt;0,RLD_Label(G186,H186,I186),"")</f>
        <v/>
      </c>
      <c r="O186">
        <v>7</v>
      </c>
      <c r="P186" s="25" t="str">
        <f>IFERROR(INDEX(参数配置!B:B,MATCH(O186,参数配置!A:A,0)),"")</f>
        <v>先难后易</v>
      </c>
    </row>
    <row r="187" ht="14.25" customHeight="1" spans="1:16">
      <c r="A187" s="26"/>
      <c r="B187" s="24">
        <v>186</v>
      </c>
      <c r="C187" s="24" t="s">
        <v>32</v>
      </c>
      <c r="D187" s="24">
        <v>0.6</v>
      </c>
      <c r="E187" s="25"/>
      <c r="F187" s="25"/>
      <c r="G187" s="24"/>
      <c r="H187" s="25">
        <f>IF(ISBLANK('1-200关设定'!W187),"",'1-200关设定'!W187)</f>
        <v>5</v>
      </c>
      <c r="I187" s="25">
        <f>IF(ISBLANK('1-200关设定'!V187),"",'1-200关设定'!V187)</f>
        <v>2</v>
      </c>
      <c r="J187" t="str">
        <f>IF(G187="","",1-EXP(-G187/参数配置!O191))</f>
        <v/>
      </c>
      <c r="K187">
        <f t="shared" si="4"/>
        <v>0.5625</v>
      </c>
      <c r="L187">
        <f t="shared" si="5"/>
        <v>0.75</v>
      </c>
      <c r="M187" t="str">
        <f>IF(G187="","",(参数配置!O187*K187+参数配置!O188*(J187-(1-EXP(-200/参数配置!O191)))/((1-EXP(-1500/参数配置!O191))-(1-EXP(-200/参数配置!O191)))+参数配置!O189*(L187/(1-2^(-5)))+参数配置!O190*K187*(J187-(1-EXP(-200/参数配置!O191)))/((1-EXP(-1500/参数配置!O191))-(1-EXP(-200/参数配置!O191))))*100)</f>
        <v/>
      </c>
      <c r="N187" t="str">
        <f t="array" ref="N187">IF(G187&gt;0,RLD_Label(G187,H187,I187),"")</f>
        <v/>
      </c>
      <c r="O187">
        <v>6</v>
      </c>
      <c r="P187" s="25" t="str">
        <f>IFERROR(INDEX(参数配置!B:B,MATCH(O187,参数配置!A:A,0)),"")</f>
        <v>先易后难</v>
      </c>
    </row>
    <row r="188" ht="14.25" customHeight="1" spans="1:16">
      <c r="A188" s="26"/>
      <c r="B188" s="24">
        <v>187</v>
      </c>
      <c r="C188" s="24" t="s">
        <v>25</v>
      </c>
      <c r="D188" s="24">
        <v>0.85</v>
      </c>
      <c r="E188" s="25"/>
      <c r="F188" s="25"/>
      <c r="G188" s="24"/>
      <c r="H188" s="25">
        <f>IF(ISBLANK('1-200关设定'!W188),"",'1-200关设定'!W188)</f>
        <v>4</v>
      </c>
      <c r="I188" s="25">
        <f>IF(ISBLANK('1-200关设定'!V188),"",'1-200关设定'!V188)</f>
        <v>4</v>
      </c>
      <c r="J188" t="str">
        <f>IF(G188="","",1-EXP(-G188/参数配置!O192))</f>
        <v/>
      </c>
      <c r="K188">
        <f t="shared" si="4"/>
        <v>0.25</v>
      </c>
      <c r="L188">
        <f t="shared" si="5"/>
        <v>0.9375</v>
      </c>
      <c r="M188" t="str">
        <f>IF(G188="","",(参数配置!O188*K188+参数配置!O189*(J188-(1-EXP(-200/参数配置!O192)))/((1-EXP(-1500/参数配置!O192))-(1-EXP(-200/参数配置!O192)))+参数配置!O190*(L188/(1-2^(-5)))+参数配置!O191*K188*(J188-(1-EXP(-200/参数配置!O192)))/((1-EXP(-1500/参数配置!O192))-(1-EXP(-200/参数配置!O192))))*100)</f>
        <v/>
      </c>
      <c r="N188" t="str">
        <f t="array" ref="N188">IF(G188&gt;0,RLD_Label(G188,H188,I188),"")</f>
        <v/>
      </c>
      <c r="O188">
        <v>3</v>
      </c>
      <c r="P188" s="25" t="str">
        <f>IFERROR(INDEX(参数配置!B:B,MATCH(O188,参数配置!A:A,0)),"")</f>
        <v>阶梯上升</v>
      </c>
    </row>
    <row r="189" ht="14.25" customHeight="1" spans="1:16">
      <c r="A189" s="26"/>
      <c r="B189" s="24">
        <v>188</v>
      </c>
      <c r="C189" s="24" t="s">
        <v>25</v>
      </c>
      <c r="D189" s="24">
        <v>0.85</v>
      </c>
      <c r="E189" s="25"/>
      <c r="F189" s="25"/>
      <c r="G189" s="24"/>
      <c r="H189" s="25">
        <f>IF(ISBLANK('1-200关设定'!W189),"",'1-200关设定'!W189)</f>
        <v>4</v>
      </c>
      <c r="I189" s="25">
        <f>IF(ISBLANK('1-200关设定'!V189),"",'1-200关设定'!V189)</f>
        <v>5</v>
      </c>
      <c r="J189" t="str">
        <f>IF(G189="","",1-EXP(-G189/参数配置!O193))</f>
        <v/>
      </c>
      <c r="K189">
        <f t="shared" si="4"/>
        <v>0.25</v>
      </c>
      <c r="L189">
        <f t="shared" si="5"/>
        <v>0.96875</v>
      </c>
      <c r="M189" t="str">
        <f>IF(G189="","",(参数配置!O189*K189+参数配置!O190*(J189-(1-EXP(-200/参数配置!O193)))/((1-EXP(-1500/参数配置!O193))-(1-EXP(-200/参数配置!O193)))+参数配置!O191*(L189/(1-2^(-5)))+参数配置!O192*K189*(J189-(1-EXP(-200/参数配置!O193)))/((1-EXP(-1500/参数配置!O193))-(1-EXP(-200/参数配置!O193))))*100)</f>
        <v/>
      </c>
      <c r="N189" t="str">
        <f t="array" ref="N189">IF(G189&gt;0,RLD_Label(G189,H189,I189),"")</f>
        <v/>
      </c>
      <c r="O189">
        <v>4</v>
      </c>
      <c r="P189" s="25" t="str">
        <f>IFERROR(INDEX(参数配置!B:B,MATCH(O189,参数配置!A:A,0)),"")</f>
        <v>双峰值</v>
      </c>
    </row>
    <row r="190" ht="14.25" customHeight="1" spans="1:16">
      <c r="A190" s="26"/>
      <c r="B190" s="24">
        <v>189</v>
      </c>
      <c r="C190" s="24" t="s">
        <v>25</v>
      </c>
      <c r="D190" s="24">
        <v>0.85</v>
      </c>
      <c r="E190" s="25"/>
      <c r="F190" s="25"/>
      <c r="G190" s="24"/>
      <c r="H190" s="25">
        <f>IF(ISBLANK('1-200关设定'!W190),"",'1-200关设定'!W190)</f>
        <v>4</v>
      </c>
      <c r="I190" s="25">
        <f>IF(ISBLANK('1-200关设定'!V190),"",'1-200关设定'!V190)</f>
        <v>4</v>
      </c>
      <c r="J190" t="str">
        <f>IF(G190="","",1-EXP(-G190/参数配置!O194))</f>
        <v/>
      </c>
      <c r="K190">
        <f t="shared" si="4"/>
        <v>0.25</v>
      </c>
      <c r="L190">
        <f t="shared" si="5"/>
        <v>0.9375</v>
      </c>
      <c r="M190" t="str">
        <f>IF(G190="","",(参数配置!O190*K190+参数配置!O191*(J190-(1-EXP(-200/参数配置!O194)))/((1-EXP(-1500/参数配置!O194))-(1-EXP(-200/参数配置!O194)))+参数配置!O192*(L190/(1-2^(-5)))+参数配置!O193*K190*(J190-(1-EXP(-200/参数配置!O194)))/((1-EXP(-1500/参数配置!O194))-(1-EXP(-200/参数配置!O194))))*100)</f>
        <v/>
      </c>
      <c r="N190" t="str">
        <f t="array" ref="N190">IF(G190&gt;0,RLD_Label(G190,H190,I190),"")</f>
        <v/>
      </c>
      <c r="O190">
        <v>6</v>
      </c>
      <c r="P190" s="25" t="str">
        <f>IFERROR(INDEX(参数配置!B:B,MATCH(O190,参数配置!A:A,0)),"")</f>
        <v>先易后难</v>
      </c>
    </row>
    <row r="191" ht="14.25" customHeight="1" spans="1:16">
      <c r="A191" s="26"/>
      <c r="B191" s="24">
        <v>190</v>
      </c>
      <c r="C191" s="24" t="s">
        <v>41</v>
      </c>
      <c r="D191" s="24">
        <v>0.4</v>
      </c>
      <c r="E191" s="25"/>
      <c r="F191" s="25"/>
      <c r="G191" s="24"/>
      <c r="H191" s="25">
        <f>IF(ISBLANK('1-200关设定'!W191),"",'1-200关设定'!W191)</f>
        <v>5</v>
      </c>
      <c r="I191" s="25">
        <f>IF(ISBLANK('1-200关设定'!V191),"",'1-200关设定'!V191)</f>
        <v>3</v>
      </c>
      <c r="J191" t="str">
        <f>IF(G191="","",1-EXP(-G191/参数配置!O195))</f>
        <v/>
      </c>
      <c r="K191">
        <f t="shared" si="4"/>
        <v>0.5625</v>
      </c>
      <c r="L191">
        <f t="shared" si="5"/>
        <v>0.875</v>
      </c>
      <c r="M191" t="str">
        <f>IF(G191="","",(参数配置!O191*K191+参数配置!O192*(J191-(1-EXP(-200/参数配置!O195)))/((1-EXP(-1500/参数配置!O195))-(1-EXP(-200/参数配置!O195)))+参数配置!O193*(L191/(1-2^(-5)))+参数配置!O194*K191*(J191-(1-EXP(-200/参数配置!O195)))/((1-EXP(-1500/参数配置!O195))-(1-EXP(-200/参数配置!O195))))*100)</f>
        <v/>
      </c>
      <c r="N191" t="str">
        <f t="array" ref="N191">IF(G191&gt;0,RLD_Label(G191,H191,I191),"")</f>
        <v/>
      </c>
      <c r="O191">
        <v>5</v>
      </c>
      <c r="P191" s="25" t="str">
        <f>IFERROR(INDEX(参数配置!B:B,MATCH(O191,参数配置!A:A,0)),"")</f>
        <v>起死回生</v>
      </c>
    </row>
    <row r="192" ht="14.25" customHeight="1" spans="1:16">
      <c r="A192" s="26"/>
      <c r="B192" s="24">
        <v>191</v>
      </c>
      <c r="C192" s="24" t="s">
        <v>25</v>
      </c>
      <c r="D192" s="24">
        <v>0.85</v>
      </c>
      <c r="E192" s="25"/>
      <c r="F192" s="25"/>
      <c r="G192" s="24"/>
      <c r="H192" s="25">
        <f>IF(ISBLANK('1-200关设定'!W192),"",'1-200关设定'!W192)</f>
        <v>4</v>
      </c>
      <c r="I192" s="25">
        <f>IF(ISBLANK('1-200关设定'!V192),"",'1-200关设定'!V192)</f>
        <v>3</v>
      </c>
      <c r="J192" t="str">
        <f>IF(G192="","",1-EXP(-G192/参数配置!O196))</f>
        <v/>
      </c>
      <c r="K192">
        <f t="shared" si="4"/>
        <v>0.25</v>
      </c>
      <c r="L192">
        <f t="shared" si="5"/>
        <v>0.875</v>
      </c>
      <c r="M192" t="str">
        <f>IF(G192="","",(参数配置!O192*K192+参数配置!O193*(J192-(1-EXP(-200/参数配置!O196)))/((1-EXP(-1500/参数配置!O196))-(1-EXP(-200/参数配置!O196)))+参数配置!O194*(L192/(1-2^(-5)))+参数配置!O195*K192*(J192-(1-EXP(-200/参数配置!O196)))/((1-EXP(-1500/参数配置!O196))-(1-EXP(-200/参数配置!O196))))*100)</f>
        <v/>
      </c>
      <c r="N192" t="str">
        <f t="array" ref="N192">IF(G192&gt;0,RLD_Label(G192,H192,I192),"")</f>
        <v/>
      </c>
      <c r="O192">
        <v>3</v>
      </c>
      <c r="P192" s="25" t="str">
        <f>IFERROR(INDEX(参数配置!B:B,MATCH(O192,参数配置!A:A,0)),"")</f>
        <v>阶梯上升</v>
      </c>
    </row>
    <row r="193" ht="14.25" customHeight="1" spans="1:16">
      <c r="A193" s="26"/>
      <c r="B193" s="24">
        <v>192</v>
      </c>
      <c r="C193" s="24" t="s">
        <v>25</v>
      </c>
      <c r="D193" s="24">
        <v>0.85</v>
      </c>
      <c r="E193" s="25"/>
      <c r="F193" s="25"/>
      <c r="G193" s="24"/>
      <c r="H193" s="25">
        <f>IF(ISBLANK('1-200关设定'!W193),"",'1-200关设定'!W193)</f>
        <v>5</v>
      </c>
      <c r="I193" s="25">
        <f>IF(ISBLANK('1-200关设定'!V193),"",'1-200关设定'!V193)</f>
        <v>3</v>
      </c>
      <c r="J193" t="str">
        <f>IF(G193="","",1-EXP(-G193/参数配置!O197))</f>
        <v/>
      </c>
      <c r="K193">
        <f t="shared" si="4"/>
        <v>0.5625</v>
      </c>
      <c r="L193">
        <f t="shared" si="5"/>
        <v>0.875</v>
      </c>
      <c r="M193" t="str">
        <f>IF(G193="","",(参数配置!O193*K193+参数配置!O194*(J193-(1-EXP(-200/参数配置!O197)))/((1-EXP(-1500/参数配置!O197))-(1-EXP(-200/参数配置!O197)))+参数配置!O195*(L193/(1-2^(-5)))+参数配置!O196*K193*(J193-(1-EXP(-200/参数配置!O197)))/((1-EXP(-1500/参数配置!O197))-(1-EXP(-200/参数配置!O197))))*100)</f>
        <v/>
      </c>
      <c r="N193" t="str">
        <f t="array" ref="N193">IF(G193&gt;0,RLD_Label(G193,H193,I193),"")</f>
        <v/>
      </c>
      <c r="O193">
        <v>6</v>
      </c>
      <c r="P193" s="25" t="str">
        <f>IFERROR(INDEX(参数配置!B:B,MATCH(O193,参数配置!A:A,0)),"")</f>
        <v>先易后难</v>
      </c>
    </row>
    <row r="194" ht="14.25" customHeight="1" spans="1:16">
      <c r="A194" s="26"/>
      <c r="B194" s="24">
        <v>193</v>
      </c>
      <c r="C194" s="24" t="s">
        <v>25</v>
      </c>
      <c r="D194" s="24">
        <v>0.85</v>
      </c>
      <c r="E194" s="25"/>
      <c r="F194" s="25"/>
      <c r="G194" s="24"/>
      <c r="H194" s="25">
        <f>IF(ISBLANK('1-200关设定'!W194),"",'1-200关设定'!W194)</f>
        <v>4</v>
      </c>
      <c r="I194" s="25">
        <f>IF(ISBLANK('1-200关设定'!V194),"",'1-200关设定'!V194)</f>
        <v>3</v>
      </c>
      <c r="J194" t="str">
        <f>IF(G194="","",1-EXP(-G194/参数配置!O198))</f>
        <v/>
      </c>
      <c r="K194">
        <f t="shared" ref="K194:K201" si="6">IF(H194="","",((H194-2)/4)^2)</f>
        <v>0.25</v>
      </c>
      <c r="L194">
        <f t="shared" ref="L194:L201" si="7">IF(I194="","",1-2^(-I194))</f>
        <v>0.875</v>
      </c>
      <c r="M194" t="str">
        <f>IF(G194="","",(参数配置!O194*K194+参数配置!O195*(J194-(1-EXP(-200/参数配置!O198)))/((1-EXP(-1500/参数配置!O198))-(1-EXP(-200/参数配置!O198)))+参数配置!O196*(L194/(1-2^(-5)))+参数配置!O197*K194*(J194-(1-EXP(-200/参数配置!O198)))/((1-EXP(-1500/参数配置!O198))-(1-EXP(-200/参数配置!O198))))*100)</f>
        <v/>
      </c>
      <c r="N194" t="str">
        <f t="array" ref="N194">IF(G194&gt;0,RLD_Label(G194,H194,I194),"")</f>
        <v/>
      </c>
      <c r="O194">
        <v>3</v>
      </c>
      <c r="P194" s="25" t="str">
        <f>IFERROR(INDEX(参数配置!B:B,MATCH(O194,参数配置!A:A,0)),"")</f>
        <v>阶梯上升</v>
      </c>
    </row>
    <row r="195" ht="14.25" customHeight="1" spans="1:16">
      <c r="A195" s="26"/>
      <c r="B195" s="24">
        <v>194</v>
      </c>
      <c r="C195" s="24" t="s">
        <v>32</v>
      </c>
      <c r="D195" s="24">
        <v>0.6</v>
      </c>
      <c r="E195" s="25"/>
      <c r="F195" s="25"/>
      <c r="G195" s="24"/>
      <c r="H195" s="25">
        <f>IF(ISBLANK('1-200关设定'!W195),"",'1-200关设定'!W195)</f>
        <v>5</v>
      </c>
      <c r="I195" s="25">
        <f>IF(ISBLANK('1-200关设定'!V195),"",'1-200关设定'!V195)</f>
        <v>2</v>
      </c>
      <c r="J195" t="str">
        <f>IF(G195="","",1-EXP(-G195/参数配置!O199))</f>
        <v/>
      </c>
      <c r="K195">
        <f t="shared" si="6"/>
        <v>0.5625</v>
      </c>
      <c r="L195">
        <f t="shared" si="7"/>
        <v>0.75</v>
      </c>
      <c r="M195" t="str">
        <f>IF(G195="","",(参数配置!O195*K195+参数配置!O196*(J195-(1-EXP(-200/参数配置!O199)))/((1-EXP(-1500/参数配置!O199))-(1-EXP(-200/参数配置!O199)))+参数配置!O197*(L195/(1-2^(-5)))+参数配置!O198*K195*(J195-(1-EXP(-200/参数配置!O199)))/((1-EXP(-1500/参数配置!O199))-(1-EXP(-200/参数配置!O199))))*100)</f>
        <v/>
      </c>
      <c r="N195" t="str">
        <f t="array" ref="N195">IF(G195&gt;0,RLD_Label(G195,H195,I195),"")</f>
        <v/>
      </c>
      <c r="O195">
        <v>4</v>
      </c>
      <c r="P195" s="25" t="str">
        <f>IFERROR(INDEX(参数配置!B:B,MATCH(O195,参数配置!A:A,0)),"")</f>
        <v>双峰值</v>
      </c>
    </row>
    <row r="196" ht="14.25" customHeight="1" spans="1:16">
      <c r="A196" s="26"/>
      <c r="B196" s="24">
        <v>195</v>
      </c>
      <c r="C196" s="24" t="s">
        <v>25</v>
      </c>
      <c r="D196" s="24">
        <v>0.85</v>
      </c>
      <c r="E196" s="25"/>
      <c r="F196" s="25"/>
      <c r="G196" s="24"/>
      <c r="H196" s="25">
        <f>IF(ISBLANK('1-200关设定'!W196),"",'1-200关设定'!W196)</f>
        <v>4</v>
      </c>
      <c r="I196" s="25">
        <f>IF(ISBLANK('1-200关设定'!V196),"",'1-200关设定'!V196)</f>
        <v>4</v>
      </c>
      <c r="J196" t="str">
        <f>IF(G196="","",1-EXP(-G196/参数配置!O200))</f>
        <v/>
      </c>
      <c r="K196">
        <f t="shared" si="6"/>
        <v>0.25</v>
      </c>
      <c r="L196">
        <f t="shared" si="7"/>
        <v>0.9375</v>
      </c>
      <c r="M196" t="str">
        <f>IF(G196="","",(参数配置!O196*K196+参数配置!O197*(J196-(1-EXP(-200/参数配置!O200)))/((1-EXP(-1500/参数配置!O200))-(1-EXP(-200/参数配置!O200)))+参数配置!O198*(L196/(1-2^(-5)))+参数配置!O199*K196*(J196-(1-EXP(-200/参数配置!O200)))/((1-EXP(-1500/参数配置!O200))-(1-EXP(-200/参数配置!O200))))*100)</f>
        <v/>
      </c>
      <c r="N196" t="str">
        <f t="array" ref="N196">IF(G196&gt;0,RLD_Label(G196,H196,I196),"")</f>
        <v/>
      </c>
      <c r="O196">
        <v>7</v>
      </c>
      <c r="P196" s="25" t="str">
        <f>IFERROR(INDEX(参数配置!B:B,MATCH(O196,参数配置!A:A,0)),"")</f>
        <v>先难后易</v>
      </c>
    </row>
    <row r="197" ht="14.25" customHeight="1" spans="1:16">
      <c r="A197" s="26"/>
      <c r="B197" s="24">
        <v>196</v>
      </c>
      <c r="C197" s="24" t="s">
        <v>25</v>
      </c>
      <c r="D197" s="24">
        <v>0.85</v>
      </c>
      <c r="E197" s="25"/>
      <c r="F197" s="25"/>
      <c r="G197" s="24"/>
      <c r="H197" s="25">
        <f>IF(ISBLANK('1-200关设定'!W197),"",'1-200关设定'!W197)</f>
        <v>4</v>
      </c>
      <c r="I197" s="25">
        <f>IF(ISBLANK('1-200关设定'!V197),"",'1-200关设定'!V197)</f>
        <v>4</v>
      </c>
      <c r="J197" t="str">
        <f>IF(G197="","",1-EXP(-G197/参数配置!O201))</f>
        <v/>
      </c>
      <c r="K197">
        <f t="shared" si="6"/>
        <v>0.25</v>
      </c>
      <c r="L197">
        <f t="shared" si="7"/>
        <v>0.9375</v>
      </c>
      <c r="M197" t="str">
        <f>IF(G197="","",(参数配置!O197*K197+参数配置!O198*(J197-(1-EXP(-200/参数配置!O201)))/((1-EXP(-1500/参数配置!O201))-(1-EXP(-200/参数配置!O201)))+参数配置!O199*(L197/(1-2^(-5)))+参数配置!O200*K197*(J197-(1-EXP(-200/参数配置!O201)))/((1-EXP(-1500/参数配置!O201))-(1-EXP(-200/参数配置!O201))))*100)</f>
        <v/>
      </c>
      <c r="N197" t="str">
        <f t="array" ref="N197">IF(G197&gt;0,RLD_Label(G197,H197,I197),"")</f>
        <v/>
      </c>
      <c r="O197">
        <v>3</v>
      </c>
      <c r="P197" s="25" t="str">
        <f>IFERROR(INDEX(参数配置!B:B,MATCH(O197,参数配置!A:A,0)),"")</f>
        <v>阶梯上升</v>
      </c>
    </row>
    <row r="198" ht="14.25" customHeight="1" spans="1:16">
      <c r="A198" s="26"/>
      <c r="B198" s="24">
        <v>197</v>
      </c>
      <c r="C198" s="24" t="s">
        <v>32</v>
      </c>
      <c r="D198" s="24">
        <v>0.6</v>
      </c>
      <c r="E198" s="25"/>
      <c r="F198" s="25"/>
      <c r="G198" s="24"/>
      <c r="H198" s="25">
        <f>IF(ISBLANK('1-200关设定'!W198),"",'1-200关设定'!W198)</f>
        <v>5</v>
      </c>
      <c r="I198" s="25">
        <f>IF(ISBLANK('1-200关设定'!V198),"",'1-200关设定'!V198)</f>
        <v>3</v>
      </c>
      <c r="J198" t="str">
        <f>IF(G198="","",1-EXP(-G198/参数配置!O202))</f>
        <v/>
      </c>
      <c r="K198">
        <f t="shared" si="6"/>
        <v>0.5625</v>
      </c>
      <c r="L198">
        <f t="shared" si="7"/>
        <v>0.875</v>
      </c>
      <c r="M198" t="str">
        <f>IF(G198="","",(参数配置!O198*K198+参数配置!O199*(J198-(1-EXP(-200/参数配置!O202)))/((1-EXP(-1500/参数配置!O202))-(1-EXP(-200/参数配置!O202)))+参数配置!O200*(L198/(1-2^(-5)))+参数配置!O201*K198*(J198-(1-EXP(-200/参数配置!O202)))/((1-EXP(-1500/参数配置!O202))-(1-EXP(-200/参数配置!O202))))*100)</f>
        <v/>
      </c>
      <c r="N198" t="str">
        <f t="array" ref="N198">IF(G198&gt;0,RLD_Label(G198,H198,I198),"")</f>
        <v/>
      </c>
      <c r="O198">
        <v>3</v>
      </c>
      <c r="P198" s="25" t="str">
        <f>IFERROR(INDEX(参数配置!B:B,MATCH(O198,参数配置!A:A,0)),"")</f>
        <v>阶梯上升</v>
      </c>
    </row>
    <row r="199" ht="14.25" customHeight="1" spans="1:16">
      <c r="A199" s="26"/>
      <c r="B199" s="24">
        <v>198</v>
      </c>
      <c r="C199" s="24" t="s">
        <v>25</v>
      </c>
      <c r="D199" s="24">
        <v>0.85</v>
      </c>
      <c r="E199" s="25"/>
      <c r="F199" s="25"/>
      <c r="G199" s="24"/>
      <c r="H199" s="25">
        <f>IF(ISBLANK('1-200关设定'!W199),"",'1-200关设定'!W199)</f>
        <v>4</v>
      </c>
      <c r="I199" s="25">
        <f>IF(ISBLANK('1-200关设定'!V199),"",'1-200关设定'!V199)</f>
        <v>3</v>
      </c>
      <c r="J199" t="str">
        <f>IF(G199="","",1-EXP(-G199/参数配置!O203))</f>
        <v/>
      </c>
      <c r="K199">
        <f t="shared" si="6"/>
        <v>0.25</v>
      </c>
      <c r="L199">
        <f t="shared" si="7"/>
        <v>0.875</v>
      </c>
      <c r="M199" t="str">
        <f>IF(G199="","",(参数配置!O199*K199+参数配置!O200*(J199-(1-EXP(-200/参数配置!O203)))/((1-EXP(-1500/参数配置!O203))-(1-EXP(-200/参数配置!O203)))+参数配置!O201*(L199/(1-2^(-5)))+参数配置!O202*K199*(J199-(1-EXP(-200/参数配置!O203)))/((1-EXP(-1500/参数配置!O203))-(1-EXP(-200/参数配置!O203))))*100)</f>
        <v/>
      </c>
      <c r="N199" t="str">
        <f t="array" ref="N199">IF(G199&gt;0,RLD_Label(G199,H199,I199),"")</f>
        <v/>
      </c>
      <c r="O199">
        <v>5</v>
      </c>
      <c r="P199" s="25" t="str">
        <f>IFERROR(INDEX(参数配置!B:B,MATCH(O199,参数配置!A:A,0)),"")</f>
        <v>起死回生</v>
      </c>
    </row>
    <row r="200" ht="14.25" customHeight="1" spans="1:16">
      <c r="A200" s="26"/>
      <c r="B200" s="24">
        <v>199</v>
      </c>
      <c r="C200" s="24" t="s">
        <v>32</v>
      </c>
      <c r="D200" s="24">
        <v>0.6</v>
      </c>
      <c r="E200" s="25"/>
      <c r="F200" s="25"/>
      <c r="G200" s="24"/>
      <c r="H200" s="25">
        <f>IF(ISBLANK('1-200关设定'!W200),"",'1-200关设定'!W200)</f>
        <v>5</v>
      </c>
      <c r="I200" s="25">
        <f>IF(ISBLANK('1-200关设定'!V200),"",'1-200关设定'!V200)</f>
        <v>4</v>
      </c>
      <c r="J200" t="str">
        <f>IF(G200="","",1-EXP(-G200/参数配置!O204))</f>
        <v/>
      </c>
      <c r="K200">
        <f t="shared" si="6"/>
        <v>0.5625</v>
      </c>
      <c r="L200">
        <f t="shared" si="7"/>
        <v>0.9375</v>
      </c>
      <c r="M200" t="str">
        <f>IF(G200="","",(参数配置!O200*K200+参数配置!O201*(J200-(1-EXP(-200/参数配置!O204)))/((1-EXP(-1500/参数配置!O204))-(1-EXP(-200/参数配置!O204)))+参数配置!O202*(L200/(1-2^(-5)))+参数配置!O203*K200*(J200-(1-EXP(-200/参数配置!O204)))/((1-EXP(-1500/参数配置!O204))-(1-EXP(-200/参数配置!O204))))*100)</f>
        <v/>
      </c>
      <c r="N200" t="str">
        <f t="array" ref="N200">IF(G200&gt;0,RLD_Label(G200,H200,I200),"")</f>
        <v/>
      </c>
      <c r="O200">
        <v>3</v>
      </c>
      <c r="P200" s="25" t="str">
        <f>IFERROR(INDEX(参数配置!B:B,MATCH(O200,参数配置!A:A,0)),"")</f>
        <v>阶梯上升</v>
      </c>
    </row>
    <row r="201" ht="14.25" customHeight="1" spans="1:16">
      <c r="A201" s="26"/>
      <c r="B201" s="24">
        <v>200</v>
      </c>
      <c r="C201" s="24" t="s">
        <v>41</v>
      </c>
      <c r="D201" s="24">
        <v>0.4</v>
      </c>
      <c r="E201" s="25"/>
      <c r="F201" s="25"/>
      <c r="G201" s="24"/>
      <c r="H201" s="25">
        <f>IF(ISBLANK('1-200关设定'!W201),"",'1-200关设定'!W201)</f>
        <v>5</v>
      </c>
      <c r="I201" s="25">
        <f>IF(ISBLANK('1-200关设定'!V201),"",'1-200关设定'!V201)</f>
        <v>3</v>
      </c>
      <c r="J201" t="str">
        <f>IF(G201="","",1-EXP(-G201/参数配置!O205))</f>
        <v/>
      </c>
      <c r="K201">
        <f t="shared" si="6"/>
        <v>0.5625</v>
      </c>
      <c r="L201">
        <f t="shared" si="7"/>
        <v>0.875</v>
      </c>
      <c r="M201" t="str">
        <f>IF(G201="","",(参数配置!O201*K201+参数配置!O202*(J201-(1-EXP(-200/参数配置!O205)))/((1-EXP(-1500/参数配置!O205))-(1-EXP(-200/参数配置!O205)))+参数配置!O203*(L201/(1-2^(-5)))+参数配置!O204*K201*(J201-(1-EXP(-200/参数配置!O205)))/((1-EXP(-1500/参数配置!O205))-(1-EXP(-200/参数配置!O205))))*100)</f>
        <v/>
      </c>
      <c r="N201" t="str">
        <f t="array" ref="N201">IF(G201&gt;0,RLD_Label(G201,H201,I201),"")</f>
        <v/>
      </c>
      <c r="O201">
        <v>7</v>
      </c>
      <c r="P201" s="25" t="str">
        <f>IFERROR(INDEX(参数配置!B:B,MATCH(O201,参数配置!A:A,0)),"")</f>
        <v>先难后易</v>
      </c>
    </row>
    <row r="202" ht="14.25" customHeight="1" spans="1:16">
      <c r="A202" s="26"/>
      <c r="B202" s="24"/>
      <c r="C202" s="24"/>
      <c r="D202" s="24"/>
      <c r="E202" s="25" t="str">
        <f>IF(ISBLANK('1-200关设定'!E202),"",'1-200关设定'!E202)</f>
        <v/>
      </c>
      <c r="F202" s="25" t="str">
        <f>IF(ISBLANK('1-200关设定'!F202),"",'1-200关设定'!F202)</f>
        <v/>
      </c>
      <c r="G202" s="24"/>
      <c r="H202" s="25" t="str">
        <f>IF(ISBLANK('1-200关设定'!W202),"",'1-200关设定'!W202)</f>
        <v/>
      </c>
      <c r="I202" s="25" t="str">
        <f>IF(ISBLANK('1-200关设定'!V202),"",'1-200关设定'!V202)</f>
        <v/>
      </c>
      <c r="J202" s="25"/>
      <c r="K202" t="str">
        <f>IF(H202="","",1-EXP(-B203/参数配置!O206))</f>
        <v/>
      </c>
      <c r="L202" s="25"/>
      <c r="M202" s="25"/>
      <c r="N202" s="25"/>
      <c r="O202" s="25"/>
      <c r="P202" s="25" t="str">
        <f>IFERROR(INDEX(参数配置!B:B,MATCH(O202,参数配置!A:A,0)),"")</f>
        <v/>
      </c>
    </row>
    <row r="203" ht="14.25" customHeight="1" spans="1:16">
      <c r="A203" s="26"/>
      <c r="B203" s="24"/>
      <c r="C203" s="24"/>
      <c r="D203" s="24"/>
      <c r="E203" s="25" t="str">
        <f>IF(ISBLANK('1-200关设定'!E203),"",'1-200关设定'!E203)</f>
        <v/>
      </c>
      <c r="F203" s="25" t="str">
        <f>IF(ISBLANK('1-200关设定'!F203),"",'1-200关设定'!F203)</f>
        <v/>
      </c>
      <c r="G203" s="24"/>
      <c r="H203" s="25" t="str">
        <f>IF(ISBLANK('1-200关设定'!W203),"",'1-200关设定'!W203)</f>
        <v/>
      </c>
      <c r="I203" s="25" t="str">
        <f>IF(ISBLANK('1-200关设定'!V203),"",'1-200关设定'!V203)</f>
        <v/>
      </c>
      <c r="J203" s="25"/>
      <c r="K203" t="str">
        <f>IF(H203="","",1-EXP(-B204/参数配置!O207))</f>
        <v/>
      </c>
      <c r="L203" s="25"/>
      <c r="M203" s="25"/>
      <c r="N203" s="25"/>
      <c r="O203" s="25"/>
      <c r="P203" s="25" t="str">
        <f>IFERROR(INDEX(参数配置!B:B,MATCH(O203,参数配置!A:A,0)),"")</f>
        <v/>
      </c>
    </row>
  </sheetData>
  <mergeCells count="9">
    <mergeCell ref="A2:A12"/>
    <mergeCell ref="A13:A21"/>
    <mergeCell ref="A22:A31"/>
    <mergeCell ref="A32:A41"/>
    <mergeCell ref="A42:A51"/>
    <mergeCell ref="A52:A61"/>
    <mergeCell ref="A62:A81"/>
    <mergeCell ref="A82:A91"/>
    <mergeCell ref="A92:A101"/>
  </mergeCells>
  <conditionalFormatting sqref="C1:F1 C2:D17 C32:D203">
    <cfRule type="cellIs" dxfId="2" priority="6" operator="equal">
      <formula>"superhard"</formula>
    </cfRule>
    <cfRule type="cellIs" dxfId="1" priority="7" operator="equal">
      <formula>"hard"</formula>
    </cfRule>
  </conditionalFormatting>
  <conditionalFormatting sqref="C18:D31">
    <cfRule type="cellIs" dxfId="2" priority="3" operator="equal">
      <formula>"superhard"</formula>
    </cfRule>
    <cfRule type="cellIs" dxfId="1" priority="4" operator="equal">
      <formula>"hard"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47"/>
  <sheetViews>
    <sheetView workbookViewId="0">
      <selection activeCell="O2" sqref="O2"/>
    </sheetView>
  </sheetViews>
  <sheetFormatPr defaultColWidth="9" defaultRowHeight="13.5"/>
  <cols>
    <col min="13" max="13" width="39.125" style="6" customWidth="1"/>
    <col min="16" max="16" width="38.125" style="6" customWidth="1"/>
  </cols>
  <sheetData>
    <row r="1" spans="1:16">
      <c r="A1" s="7" t="s">
        <v>70</v>
      </c>
      <c r="M1" s="7" t="s">
        <v>71</v>
      </c>
    </row>
    <row r="2" ht="15" customHeight="1" spans="1:16">
      <c r="A2" t="s">
        <v>72</v>
      </c>
      <c r="B2" t="s">
        <v>73</v>
      </c>
      <c r="C2" t="s">
        <v>23</v>
      </c>
      <c r="M2" s="8" t="s">
        <v>74</v>
      </c>
      <c r="O2" s="9">
        <v>0.3</v>
      </c>
    </row>
    <row r="3" ht="15" customHeight="1" spans="1:16">
      <c r="A3">
        <v>1</v>
      </c>
      <c r="B3" t="s">
        <v>75</v>
      </c>
      <c r="C3" t="s">
        <v>26</v>
      </c>
      <c r="M3" s="8" t="s">
        <v>76</v>
      </c>
      <c r="O3" s="9">
        <v>0.35</v>
      </c>
    </row>
    <row r="4" ht="15" customHeight="1" spans="1:16">
      <c r="A4">
        <v>2</v>
      </c>
      <c r="B4" t="s">
        <v>77</v>
      </c>
      <c r="C4" t="s">
        <v>35</v>
      </c>
      <c r="M4" s="8" t="s">
        <v>78</v>
      </c>
      <c r="O4" s="9">
        <v>0.15</v>
      </c>
    </row>
    <row r="5" ht="15" customHeight="1" spans="1:16">
      <c r="A5">
        <v>3</v>
      </c>
      <c r="B5" t="s">
        <v>79</v>
      </c>
      <c r="C5" t="s">
        <v>36</v>
      </c>
      <c r="M5" s="8" t="s">
        <v>80</v>
      </c>
      <c r="O5" s="9">
        <v>0.2</v>
      </c>
    </row>
    <row r="6" ht="15" customHeight="1" spans="1:16">
      <c r="A6">
        <v>4</v>
      </c>
      <c r="B6" t="s">
        <v>81</v>
      </c>
      <c r="C6" t="s">
        <v>38</v>
      </c>
      <c r="M6" s="10" t="s">
        <v>82</v>
      </c>
      <c r="O6" s="11">
        <v>800</v>
      </c>
    </row>
    <row r="7" spans="1:16">
      <c r="A7">
        <v>5</v>
      </c>
      <c r="B7" t="s">
        <v>83</v>
      </c>
      <c r="C7" t="s">
        <v>40</v>
      </c>
    </row>
    <row r="8" spans="1:16">
      <c r="A8">
        <v>6</v>
      </c>
      <c r="B8" s="12" t="s">
        <v>84</v>
      </c>
      <c r="C8" t="s">
        <v>42</v>
      </c>
    </row>
    <row r="9" spans="1:16">
      <c r="A9">
        <v>7</v>
      </c>
      <c r="B9" t="s">
        <v>85</v>
      </c>
      <c r="C9" t="s">
        <v>58</v>
      </c>
    </row>
    <row r="11" ht="18" customHeight="1" spans="1:16">
      <c r="M11" s="2" t="s">
        <v>86</v>
      </c>
    </row>
    <row r="12" spans="1:16">
      <c r="M12" s="1"/>
      <c r="N12" s="1"/>
      <c r="O12" s="1"/>
      <c r="P12" s="1"/>
    </row>
    <row r="13" spans="1:16">
      <c r="M13" s="13" t="s">
        <v>87</v>
      </c>
      <c r="N13" s="1"/>
      <c r="O13" s="1"/>
      <c r="P13" s="1"/>
    </row>
    <row r="14" ht="15" customHeight="1" spans="1:16">
      <c r="M14" s="14" t="s">
        <v>88</v>
      </c>
      <c r="N14" s="14" t="s">
        <v>65</v>
      </c>
      <c r="O14" s="14" t="s">
        <v>89</v>
      </c>
      <c r="P14" s="14" t="s">
        <v>90</v>
      </c>
    </row>
    <row r="15" spans="1:16">
      <c r="M15" s="15">
        <v>2</v>
      </c>
      <c r="N15" s="16">
        <f>((M15-2)/4)^2</f>
        <v>0</v>
      </c>
      <c r="O15" s="16">
        <f>N15</f>
        <v>0</v>
      </c>
      <c r="P15" s="15" t="s">
        <v>91</v>
      </c>
    </row>
    <row r="16" spans="1:16">
      <c r="M16" s="17">
        <v>3</v>
      </c>
      <c r="N16" s="18">
        <f>((M16-2)/4)^2</f>
        <v>0.0625</v>
      </c>
      <c r="O16" s="18">
        <f>N16</f>
        <v>0.0625</v>
      </c>
      <c r="P16" s="17" t="s">
        <v>92</v>
      </c>
    </row>
    <row r="17" spans="13:16">
      <c r="M17" s="15">
        <v>4</v>
      </c>
      <c r="N17" s="16">
        <f>((M17-2)/4)^2</f>
        <v>0.25</v>
      </c>
      <c r="O17" s="16">
        <f>N17</f>
        <v>0.25</v>
      </c>
      <c r="P17" s="15" t="s">
        <v>93</v>
      </c>
    </row>
    <row r="18" spans="13:16">
      <c r="M18" s="17">
        <v>5</v>
      </c>
      <c r="N18" s="18">
        <f>((M18-2)/4)^2</f>
        <v>0.5625</v>
      </c>
      <c r="O18" s="18">
        <f>N18</f>
        <v>0.5625</v>
      </c>
      <c r="P18" s="17" t="s">
        <v>94</v>
      </c>
    </row>
    <row r="19" spans="13:16">
      <c r="M19" s="15">
        <v>6</v>
      </c>
      <c r="N19" s="16">
        <f>((M19-2)/4)^2</f>
        <v>1</v>
      </c>
      <c r="O19" s="16">
        <f>N19</f>
        <v>1</v>
      </c>
      <c r="P19" s="15" t="s">
        <v>95</v>
      </c>
    </row>
    <row r="20" spans="13:16">
      <c r="M20" s="1"/>
      <c r="N20" s="1"/>
      <c r="O20" s="1"/>
      <c r="P20" s="1"/>
    </row>
    <row r="21" spans="13:16">
      <c r="M21" s="1"/>
      <c r="N21" s="1"/>
      <c r="O21" s="1"/>
      <c r="P21" s="1"/>
    </row>
    <row r="22" spans="13:16">
      <c r="M22" s="13" t="s">
        <v>96</v>
      </c>
      <c r="N22" s="1"/>
      <c r="O22" s="1"/>
      <c r="P22" s="1"/>
    </row>
    <row r="23" ht="15" customHeight="1" spans="13:16">
      <c r="M23" s="14" t="s">
        <v>97</v>
      </c>
      <c r="N23" s="14" t="s">
        <v>66</v>
      </c>
      <c r="O23" s="14" t="s">
        <v>98</v>
      </c>
      <c r="P23" s="14" t="s">
        <v>90</v>
      </c>
    </row>
    <row r="24" spans="13:16">
      <c r="M24" s="15">
        <v>0</v>
      </c>
      <c r="N24" s="16">
        <f t="shared" ref="N24:N29" si="0">1-2^(-M24)</f>
        <v>0</v>
      </c>
      <c r="O24" s="16">
        <f t="shared" ref="O24:O29" si="1">N24/(1-2^(-5))</f>
        <v>0</v>
      </c>
      <c r="P24" s="15" t="s">
        <v>99</v>
      </c>
    </row>
    <row r="25" spans="13:16">
      <c r="M25" s="17">
        <v>1</v>
      </c>
      <c r="N25" s="18">
        <f t="shared" si="0"/>
        <v>0.5</v>
      </c>
      <c r="O25" s="18">
        <f t="shared" si="1"/>
        <v>0.516129032258065</v>
      </c>
      <c r="P25" s="17" t="s">
        <v>100</v>
      </c>
    </row>
    <row r="26" spans="13:16">
      <c r="M26" s="15">
        <v>2</v>
      </c>
      <c r="N26" s="16">
        <f t="shared" si="0"/>
        <v>0.75</v>
      </c>
      <c r="O26" s="16">
        <f t="shared" si="1"/>
        <v>0.774193548387097</v>
      </c>
      <c r="P26" s="15" t="s">
        <v>101</v>
      </c>
    </row>
    <row r="27" spans="13:16">
      <c r="M27" s="17">
        <v>3</v>
      </c>
      <c r="N27" s="18">
        <f t="shared" si="0"/>
        <v>0.875</v>
      </c>
      <c r="O27" s="18">
        <f t="shared" si="1"/>
        <v>0.903225806451613</v>
      </c>
      <c r="P27" s="17" t="s">
        <v>102</v>
      </c>
    </row>
    <row r="28" spans="13:16">
      <c r="M28" s="15">
        <v>4</v>
      </c>
      <c r="N28" s="16">
        <f t="shared" si="0"/>
        <v>0.9375</v>
      </c>
      <c r="O28" s="16">
        <f t="shared" si="1"/>
        <v>0.967741935483871</v>
      </c>
      <c r="P28" s="15" t="s">
        <v>103</v>
      </c>
    </row>
    <row r="29" spans="13:16">
      <c r="M29" s="17">
        <v>5</v>
      </c>
      <c r="N29" s="18">
        <f t="shared" si="0"/>
        <v>0.96875</v>
      </c>
      <c r="O29" s="18">
        <f t="shared" si="1"/>
        <v>1</v>
      </c>
      <c r="P29" s="17" t="s">
        <v>104</v>
      </c>
    </row>
    <row r="30" spans="13:16">
      <c r="M30" s="1"/>
      <c r="N30" s="1"/>
      <c r="O30" s="1"/>
      <c r="P30" s="1"/>
    </row>
    <row r="31" spans="13:16">
      <c r="M31" s="1"/>
      <c r="N31" s="1"/>
      <c r="O31" s="1"/>
      <c r="P31" s="1"/>
    </row>
    <row r="32" spans="13:16">
      <c r="M32" s="13" t="s">
        <v>105</v>
      </c>
      <c r="N32" s="1"/>
      <c r="O32" s="1"/>
      <c r="P32" s="1"/>
    </row>
    <row r="33" ht="15" customHeight="1" spans="13:16">
      <c r="M33" s="14" t="s">
        <v>106</v>
      </c>
      <c r="N33" s="14" t="s">
        <v>64</v>
      </c>
      <c r="O33" s="14" t="s">
        <v>107</v>
      </c>
      <c r="P33" s="14" t="s">
        <v>90</v>
      </c>
    </row>
    <row r="34" spans="13:16">
      <c r="M34" s="15">
        <v>200</v>
      </c>
      <c r="N34" s="16">
        <f>1-EXP(-M34/O6)</f>
        <v>0.221199216928595</v>
      </c>
      <c r="O34" s="16">
        <f>(N34-(1-EXP(-200/O6)))/((1-EXP(-1500/O6))-(1-EXP(-200/O6)))</f>
        <v>0</v>
      </c>
      <c r="P34" s="15" t="s">
        <v>108</v>
      </c>
    </row>
    <row r="35" spans="13:16">
      <c r="M35" s="17">
        <v>300</v>
      </c>
      <c r="N35" s="18">
        <f>1-EXP(-M35/O6)</f>
        <v>0.312710721209028</v>
      </c>
      <c r="O35" s="18">
        <f>(N35-(1-EXP(-200/O6)))/((1-EXP(-1500/O6))-(1-EXP(-200/O6)))</f>
        <v>0.146314040171461</v>
      </c>
      <c r="P35" s="17" t="s">
        <v>109</v>
      </c>
    </row>
    <row r="36" spans="13:16">
      <c r="M36" s="15">
        <v>400</v>
      </c>
      <c r="N36" s="16">
        <f>1-EXP(-M36/O6)</f>
        <v>0.393469340287367</v>
      </c>
      <c r="O36" s="16">
        <f>(N36-(1-EXP(-200/O6)))/((1-EXP(-1500/O6))-(1-EXP(-200/O6)))</f>
        <v>0.275435727427413</v>
      </c>
      <c r="P36" s="15" t="s">
        <v>110</v>
      </c>
    </row>
    <row r="37" spans="13:16">
      <c r="M37" s="17">
        <v>500</v>
      </c>
      <c r="N37" s="18">
        <f>1-EXP(-M37/O6)</f>
        <v>0.46473857148101</v>
      </c>
      <c r="O37" s="18">
        <f>(N37-(1-EXP(-200/O6)))/((1-EXP(-1500/O6))-(1-EXP(-200/O6)))</f>
        <v>0.389385216487287</v>
      </c>
      <c r="P37" s="17" t="s">
        <v>111</v>
      </c>
    </row>
    <row r="38" spans="13:16">
      <c r="M38" s="15">
        <v>600</v>
      </c>
      <c r="N38" s="16">
        <f>1-EXP(-M38/O6)</f>
        <v>0.527633447258985</v>
      </c>
      <c r="O38" s="16">
        <f>(N38-(1-EXP(-200/O6)))/((1-EXP(-1500/O6))-(1-EXP(-200/O6)))</f>
        <v>0.489945287633724</v>
      </c>
      <c r="P38" s="15" t="s">
        <v>112</v>
      </c>
    </row>
    <row r="39" spans="13:16">
      <c r="M39" s="17">
        <v>700</v>
      </c>
      <c r="N39" s="18">
        <f>1-EXP(-M39/O6)</f>
        <v>0.583137980321492</v>
      </c>
      <c r="O39" s="18">
        <f>(N39-(1-EXP(-200/O6)))/((1-EXP(-1500/O6))-(1-EXP(-200/O6)))</f>
        <v>0.578689238944141</v>
      </c>
      <c r="P39" s="17" t="s">
        <v>113</v>
      </c>
    </row>
    <row r="40" spans="13:16">
      <c r="M40" s="15">
        <v>800</v>
      </c>
      <c r="N40" s="16">
        <f>1-EXP(-M40/O6)</f>
        <v>0.632120558828558</v>
      </c>
      <c r="O40" s="16">
        <f>(N40-(1-EXP(-200/O6)))/((1-EXP(-1500/O6))-(1-EXP(-200/O6)))</f>
        <v>0.657005501098701</v>
      </c>
      <c r="P40" s="15" t="s">
        <v>114</v>
      </c>
    </row>
    <row r="41" spans="13:16">
      <c r="M41" s="17">
        <v>900</v>
      </c>
      <c r="N41" s="18">
        <f>1-EXP(-M41/O6)</f>
        <v>0.67534753264165</v>
      </c>
      <c r="O41" s="18">
        <f>(N41-(1-EXP(-200/O6)))/((1-EXP(-1500/O6))-(1-EXP(-200/O6)))</f>
        <v>0.726119359872105</v>
      </c>
      <c r="P41" s="17" t="s">
        <v>115</v>
      </c>
    </row>
    <row r="42" spans="13:16">
      <c r="M42" s="15">
        <v>1000</v>
      </c>
      <c r="N42" s="16">
        <f>1-EXP(-M42/O6)</f>
        <v>0.71349520313981</v>
      </c>
      <c r="O42" s="16">
        <f>(N42-(1-EXP(-200/O6)))/((1-EXP(-1500/O6))-(1-EXP(-200/O6)))</f>
        <v>0.787112126165302</v>
      </c>
      <c r="P42" s="15" t="s">
        <v>116</v>
      </c>
    </row>
    <row r="43" spans="13:16">
      <c r="M43" s="17">
        <v>1100</v>
      </c>
      <c r="N43" s="18">
        <f>1-EXP(-M43/O6)</f>
        <v>0.747160404195254</v>
      </c>
      <c r="O43" s="18">
        <f>(N43-(1-EXP(-200/O6)))/((1-EXP(-1500/O6))-(1-EXP(-200/O6)))</f>
        <v>0.840938053499115</v>
      </c>
      <c r="P43" s="17" t="s">
        <v>117</v>
      </c>
    </row>
    <row r="44" spans="13:16">
      <c r="M44" s="15">
        <v>1200</v>
      </c>
      <c r="N44" s="16">
        <f>1-EXP(-M44/O6)</f>
        <v>0.77686983985157</v>
      </c>
      <c r="O44" s="16">
        <f>(N44-(1-EXP(-200/O6)))/((1-EXP(-1500/O6))-(1-EXP(-200/O6)))</f>
        <v>0.888439267649949</v>
      </c>
      <c r="P44" s="15" t="s">
        <v>118</v>
      </c>
    </row>
    <row r="45" spans="13:16">
      <c r="M45" s="17">
        <v>1300</v>
      </c>
      <c r="N45" s="18">
        <f>1-EXP(-M45/O6)</f>
        <v>0.803088324795806</v>
      </c>
      <c r="O45" s="18">
        <f>(N45-(1-EXP(-200/O6)))/((1-EXP(-1500/O6))-(1-EXP(-200/O6)))</f>
        <v>0.930358942007067</v>
      </c>
      <c r="P45" s="17" t="s">
        <v>119</v>
      </c>
    </row>
    <row r="46" spans="13:16">
      <c r="M46" s="15">
        <v>1400</v>
      </c>
      <c r="N46" s="16">
        <f>1-EXP(-M46/O6)</f>
        <v>0.826226056549555</v>
      </c>
      <c r="O46" s="16">
        <f>(N46-(1-EXP(-200/O6)))/((1-EXP(-1500/O6))-(1-EXP(-200/O6)))</f>
        <v>0.967352924784578</v>
      </c>
      <c r="P46" s="15" t="s">
        <v>120</v>
      </c>
    </row>
    <row r="47" spans="13:16">
      <c r="M47" s="17">
        <v>1500</v>
      </c>
      <c r="N47" s="18">
        <f>1-EXP(-M47/O6)</f>
        <v>0.846645033155072</v>
      </c>
      <c r="O47" s="18">
        <f>(N47-(1-EXP(-200/O6)))/((1-EXP(-1500/O6))-(1-EXP(-200/O6)))</f>
        <v>1</v>
      </c>
      <c r="P47" s="17" t="s">
        <v>120</v>
      </c>
    </row>
  </sheetData>
  <mergeCells count="3">
    <mergeCell ref="A1:H1"/>
    <mergeCell ref="M1:R1"/>
    <mergeCell ref="M11:P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9800"/>
  </sheetPr>
  <dimension ref="A1:D33"/>
  <sheetViews>
    <sheetView workbookViewId="0">
      <selection activeCell="B15" sqref="B15"/>
    </sheetView>
  </sheetViews>
  <sheetFormatPr defaultColWidth="9" defaultRowHeight="13.5" outlineLevelCol="3"/>
  <cols>
    <col min="1" max="1" width="22" style="1" customWidth="1"/>
    <col min="2" max="2" width="65" style="1" customWidth="1"/>
    <col min="3" max="3" width="40" style="1" customWidth="1"/>
    <col min="4" max="4" width="50" style="1" customWidth="1"/>
    <col min="5" max="16384" width="9" style="1" customWidth="1"/>
  </cols>
  <sheetData>
    <row r="1" ht="18" customHeight="1" spans="1:4">
      <c r="A1" s="2" t="s">
        <v>121</v>
      </c>
    </row>
    <row r="3" spans="1:4">
      <c r="A3" s="3"/>
      <c r="B3" s="4" t="s">
        <v>122</v>
      </c>
      <c r="C3" s="5"/>
      <c r="D3" s="5"/>
    </row>
    <row r="4" spans="1:4">
      <c r="A4" s="4" t="s">
        <v>123</v>
      </c>
      <c r="B4" s="3" t="e">
        <f>(W_s*F_search_norm+W_e*F_endurance_norm+W_t*F_strategy_norm+W_se*F_search_norm*F_endurance_norm)*100</f>
        <v>#NAME?</v>
      </c>
      <c r="C4" s="5"/>
      <c r="D4" s="5"/>
    </row>
    <row r="5" spans="1:4">
      <c r="A5" s="3"/>
      <c r="B5" s="3"/>
      <c r="C5" s="5"/>
      <c r="D5" s="5"/>
    </row>
    <row r="6" spans="1:4">
      <c r="A6" s="3"/>
      <c r="B6" s="4" t="s">
        <v>124</v>
      </c>
      <c r="C6" s="5"/>
      <c r="D6" s="5"/>
    </row>
    <row r="7" spans="1:4">
      <c r="A7" s="4" t="s">
        <v>125</v>
      </c>
      <c r="B7" s="3"/>
      <c r="C7" s="5" t="s">
        <v>126</v>
      </c>
      <c r="D7" s="5" t="s">
        <v>127</v>
      </c>
    </row>
    <row r="8" spans="1:4">
      <c r="A8" s="4" t="s">
        <v>128</v>
      </c>
      <c r="B8" s="3" t="e">
        <f>1-EXP(-N_b/λ)</f>
        <v>#NAME?</v>
      </c>
      <c r="C8" s="5" t="s">
        <v>129</v>
      </c>
      <c r="D8" s="5" t="s">
        <v>130</v>
      </c>
    </row>
    <row r="9" spans="1:4">
      <c r="A9" s="4" t="s">
        <v>131</v>
      </c>
      <c r="B9" s="3" t="e">
        <f>1-2^(-N_s)</f>
        <v>#NAME?</v>
      </c>
      <c r="C9" s="5" t="s">
        <v>132</v>
      </c>
      <c r="D9" s="5" t="s">
        <v>133</v>
      </c>
    </row>
    <row r="10" spans="1:4">
      <c r="A10" s="3"/>
      <c r="B10" s="3"/>
      <c r="C10" s="5"/>
      <c r="D10" s="5"/>
    </row>
    <row r="11" spans="1:4">
      <c r="A11" s="3"/>
      <c r="B11" s="4" t="s">
        <v>134</v>
      </c>
      <c r="C11" s="5"/>
      <c r="D11" s="5"/>
    </row>
    <row r="12" spans="1:4">
      <c r="A12" s="4" t="s">
        <v>135</v>
      </c>
      <c r="B12" s="3" t="e">
        <f>(F-F_min)/(F_max-F_min)</f>
        <v>#NAME?</v>
      </c>
      <c r="C12" s="5" t="s">
        <v>136</v>
      </c>
      <c r="D12" s="5" t="s">
        <v>137</v>
      </c>
    </row>
    <row r="13" spans="1:4">
      <c r="A13" s="4" t="s">
        <v>89</v>
      </c>
      <c r="B13" s="3" t="e">
        <f>F_search (already #REF!)</f>
        <v>#NAME?</v>
      </c>
      <c r="C13" s="5" t="s">
        <v>138</v>
      </c>
      <c r="D13" s="5"/>
    </row>
    <row r="14" spans="1:4">
      <c r="A14" s="4" t="s">
        <v>107</v>
      </c>
      <c r="B14" s="3" t="e">
        <f>(F-F(200))/(F(1500)-F(200))</f>
        <v>#NAME?</v>
      </c>
      <c r="C14" s="5" t="s">
        <v>139</v>
      </c>
      <c r="D14" s="5"/>
    </row>
    <row r="15" spans="1:4">
      <c r="A15" s="4" t="s">
        <v>98</v>
      </c>
      <c r="B15" s="3" t="e">
        <f>F_strategy/F_strategy(5)</f>
        <v>#NAME?</v>
      </c>
      <c r="C15" s="5" t="s">
        <v>140</v>
      </c>
      <c r="D15" s="5"/>
    </row>
    <row r="16" spans="1:4">
      <c r="A16" s="3"/>
      <c r="B16" s="3"/>
      <c r="C16" s="5"/>
      <c r="D16" s="5"/>
    </row>
    <row r="17" spans="1:4">
      <c r="A17" s="3"/>
      <c r="B17" s="4" t="s">
        <v>141</v>
      </c>
      <c r="C17" s="5"/>
      <c r="D17" s="5"/>
    </row>
    <row r="18" spans="1:4">
      <c r="A18" s="4" t="s">
        <v>142</v>
      </c>
      <c r="B18" s="3">
        <f>0.3</f>
        <v>0.3</v>
      </c>
      <c r="C18" s="5" t="s">
        <v>143</v>
      </c>
      <c r="D18" s="5" t="s">
        <v>144</v>
      </c>
    </row>
    <row r="19" spans="1:4">
      <c r="A19" s="4" t="s">
        <v>145</v>
      </c>
      <c r="B19" s="3">
        <f>0.35</f>
        <v>0.35</v>
      </c>
      <c r="C19" s="5" t="s">
        <v>146</v>
      </c>
      <c r="D19" s="5" t="s">
        <v>147</v>
      </c>
    </row>
    <row r="20" spans="1:4">
      <c r="A20" s="4" t="s">
        <v>148</v>
      </c>
      <c r="B20" s="3">
        <f>0.15</f>
        <v>0.15</v>
      </c>
      <c r="C20" s="5" t="s">
        <v>149</v>
      </c>
      <c r="D20" s="5" t="s">
        <v>150</v>
      </c>
    </row>
    <row r="21" spans="1:4">
      <c r="A21" s="4" t="s">
        <v>151</v>
      </c>
      <c r="B21" s="3">
        <f>0.2</f>
        <v>0.2</v>
      </c>
      <c r="C21" s="5" t="s">
        <v>152</v>
      </c>
      <c r="D21" s="5" t="s">
        <v>153</v>
      </c>
    </row>
    <row r="22" spans="1:4">
      <c r="A22" s="3"/>
      <c r="B22" s="3"/>
      <c r="C22" s="5"/>
      <c r="D22" s="5"/>
    </row>
    <row r="23" spans="1:4">
      <c r="A23" s="3"/>
      <c r="B23" s="4" t="s">
        <v>154</v>
      </c>
      <c r="C23" s="5"/>
      <c r="D23" s="5"/>
    </row>
    <row r="24" spans="1:4">
      <c r="A24" s="4" t="s">
        <v>155</v>
      </c>
      <c r="B24" s="3" t="s">
        <v>156</v>
      </c>
      <c r="C24" s="5" t="s">
        <v>157</v>
      </c>
      <c r="D24" s="5"/>
    </row>
    <row r="25" spans="1:4">
      <c r="A25" s="4" t="s">
        <v>158</v>
      </c>
      <c r="B25" s="3" t="s">
        <v>159</v>
      </c>
      <c r="C25" s="5" t="s">
        <v>160</v>
      </c>
      <c r="D25" s="5"/>
    </row>
    <row r="26" spans="1:4">
      <c r="A26" s="4" t="s">
        <v>161</v>
      </c>
      <c r="B26" s="3" t="s">
        <v>162</v>
      </c>
      <c r="C26" s="5" t="s">
        <v>163</v>
      </c>
      <c r="D26" s="5"/>
    </row>
    <row r="27" spans="1:4">
      <c r="A27" s="3"/>
      <c r="B27" s="3"/>
      <c r="C27" s="5"/>
      <c r="D27" s="5"/>
    </row>
    <row r="28" spans="1:4">
      <c r="A28" s="3"/>
      <c r="B28" s="3" t="s">
        <v>164</v>
      </c>
      <c r="C28" s="5"/>
      <c r="D28" s="5"/>
    </row>
    <row r="29" spans="1:4">
      <c r="A29" s="4" t="s">
        <v>165</v>
      </c>
      <c r="B29" s="3" t="s">
        <v>166</v>
      </c>
      <c r="C29" s="5"/>
      <c r="D29" s="5"/>
    </row>
    <row r="30" spans="1:4">
      <c r="A30" s="4" t="s">
        <v>167</v>
      </c>
      <c r="B30" s="3" t="s">
        <v>168</v>
      </c>
      <c r="C30" s="5"/>
      <c r="D30" s="5"/>
    </row>
    <row r="31" spans="1:4">
      <c r="A31" s="4" t="s">
        <v>169</v>
      </c>
      <c r="B31" s="3" t="s">
        <v>170</v>
      </c>
      <c r="C31" s="5"/>
      <c r="D31" s="5"/>
    </row>
    <row r="32" spans="1:4">
      <c r="A32" s="4" t="s">
        <v>171</v>
      </c>
      <c r="B32" s="3" t="s">
        <v>172</v>
      </c>
      <c r="C32" s="5"/>
      <c r="D32" s="5"/>
    </row>
    <row r="33" spans="1:4">
      <c r="A33" s="4" t="s">
        <v>173</v>
      </c>
      <c r="B33" s="3" t="s">
        <v>174</v>
      </c>
      <c r="C33" s="5"/>
      <c r="D33" s="5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1-200关设定</vt:lpstr>
      <vt:lpstr>总体配置</vt:lpstr>
      <vt:lpstr>参数配置</vt:lpstr>
      <vt:lpstr>公式说明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瞳</cp:lastModifiedBy>
  <dcterms:created xsi:type="dcterms:W3CDTF">2026-04-30T03:33:00Z</dcterms:created>
  <dcterms:modified xsi:type="dcterms:W3CDTF">2026-08-10T02:21:16Z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85CCAD1F74A44635BBADFEFB2BBE0AF3_11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